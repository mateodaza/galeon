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74767f74134ccd" /></Relationships>
</file>

<file path=xl/workbook.xml><?xml version="1.0" encoding="utf-8"?>
<x:workbook xmlns:x="http://schemas.openxmlformats.org/spreadsheetml/2006/main">
  <x:sheets>
    <x:sheet xmlns:r="http://schemas.openxmlformats.org/officeDocument/2006/relationships" name="Tab 1 Project Design Budget" sheetId="1" r:id="R036b1b3e3fe14819"/>
    <x:sheet xmlns:r="http://schemas.openxmlformats.org/officeDocument/2006/relationships" name="Tab 2  Company 1-YR Budget" sheetId="2" r:id="R78a585b0b2494e85"/>
    <x:sheet xmlns:r="http://schemas.openxmlformats.org/officeDocument/2006/relationships" name="Budget by cost category" sheetId="3" r:id="R9035e50cc03044f2"/>
    <x:sheet xmlns:r="http://schemas.openxmlformats.org/officeDocument/2006/relationships" name="EXAMPLE COMPANY 1YR BUDGET" sheetId="4" r:id="R04731cd958464151"/>
  </x:sheets>
</x:workbook>
</file>

<file path=xl/sharedStrings.xml><?xml version="1.0" encoding="utf-8"?>
<x:sst xmlns:x="http://schemas.openxmlformats.org/spreadsheetml/2006/main">
  <x:si>
    <x:t xml:space="preserve">TEMPLATE 7 Tab 1: PROJECT DESIGN BUDGET</x:t>
  </x:si>
  <x:si>
    <x:t xml:space="preserve">Company Name:</x:t>
  </x:si>
  <x:si>
    <x:t xml:space="preserve">TIMELINE</x:t>
  </x:si>
  <x:si>
    <x:t xml:space="preserve">TASKS</x:t>
  </x:si>
  <x:si>
    <x:t xml:space="preserve">BUDGET</x:t>
  </x:si>
  <x:si>
    <x:t xml:space="preserve">COST NATURE (see tab 'Budget by cost category')</x:t>
  </x:si>
  <x:si>
    <x:t xml:space="preserve">What are the major milestones you expect to achieve with the UNICEF Innovation Fund investment? What specific activities will you carry out to reach each milestone?
Please complete your budget using the same milestones and activities listed in Template 3 (Project Design Statement &amp; Data Plan). Budgets that do not align with the milestones and activities in Template 3 will not be considered.</x:t>
  </x:si>
  <x:si>
    <x:t xml:space="preserve">This budget should detail the costs to be covered by the UNICEF Venture Fund investment. Each budget line must be linked to the corresponding activity listed in Column B (TASKS). Formulas have been provided—if you add additional rows, please ensure the formulas remain accurate. Use the blue fields to calculate the total budget per quarter, and verify that the formula also reflects the total for the full 12-month period.
For each milestone, indicate the amount of funding requested in Column C (USD) or Column D (ETH)—choose only one currency per activity, not both.</x:t>
  </x:si>
  <x:si>
    <x:t xml:space="preserve">Currency</x:t>
  </x:si>
  <x:si>
    <x:t xml:space="preserve">USD</x:t>
  </x:si>
  <x:si>
    <x:t xml:space="preserve">Quarter 1 Total</x:t>
  </x:si>
  <x:si>
    <x:t xml:space="preserve">Milestone 1</x:t>
  </x:si>
  <x:si>
    <x:t xml:space="preserve">Activity 1</x:t>
  </x:si>
  <x:si>
    <x:t xml:space="preserve">Activity 2</x:t>
  </x:si>
  <x:si>
    <x:t xml:space="preserve">Milestone 2</x:t>
  </x:si>
  <x:si>
    <x:t xml:space="preserve">Milestone 3</x:t>
  </x:si>
  <x:si>
    <x:t xml:space="preserve">Milestone 4</x:t>
  </x:si>
  <x:si>
    <x:t xml:space="preserve">Milestone 5</x:t>
  </x:si>
  <x:si>
    <x:t xml:space="preserve">Quarter 2 Total</x:t>
  </x:si>
  <x:si>
    <x:t xml:space="preserve">Quarter 3 Total</x:t>
  </x:si>
  <x:si>
    <x:t xml:space="preserve">Quarter 4 Total</x:t>
  </x:si>
  <x:si>
    <x:t xml:space="preserve">TOTAL (12 months)</x:t>
  </x:si>
  <x:si>
    <x:t xml:space="preserve">Notes</x:t>
  </x:si>
  <x:si>
    <x:t xml:space="preserve">TEMPLATE 7, Tab 2: COMPANY 1-YR BUDGET</x:t>
  </x:si>
  <x:si>
    <x:t xml:space="preserve">Direction: please complete the company budget and indicate amounts received, held or expended in the appropriate currency. Do not convert each line into each currency.</x:t>
  </x:si>
  <x:si>
    <x:t xml:space="preserve">ETH</x:t>
  </x:si>
  <x:si>
    <x:t xml:space="preserve">Year 1:  Month 1- Month 6</x:t>
  </x:si>
  <x:si>
    <x:t xml:space="preserve">Year 1: Month7- Month 12</x:t>
  </x:si>
  <x:si>
    <x:t xml:space="preserve">TOTAL BUDGET AMOUNT IN USD</x:t>
  </x:si>
  <x:si>
    <x:t xml:space="preserve">TOTAL BUDGET AMOUNT IN ETH</x:t>
  </x:si>
  <x:si>
    <x:t xml:space="preserve">Expected Income</x:t>
  </x:si>
  <x:si>
    <x:t xml:space="preserve">Operating Income [List detailed budget items in rows below. See example sheet for suggestions]</x:t>
  </x:si>
  <x:si>
    <x:t xml:space="preserve">Non-Operating Income [List detailed budget items in rows below (see example sheet for suggestions).</x:t>
  </x:si>
  <x:si>
    <x:t xml:space="preserve">TOTAL INCOME</x:t>
  </x:si>
  <x:si>
    <x:t xml:space="preserve">TOTAL EXPENSE</x:t>
  </x:si>
  <x:si>
    <x:t xml:space="preserve">Net Income Before Tax</x:t>
  </x:si>
  <x:si>
    <x:t xml:space="preserve">Income Tax Expense</x:t>
  </x:si>
  <x:si>
    <x:t xml:space="preserve">NET INCOME</x:t>
  </x:si>
  <x:si>
    <x:t xml:space="preserve">Notes and assumptions</x:t>
  </x:si>
  <x:si>
    <x:t xml:space="preserve">Budget by cost category — same USD 70,000 as Tab 1, grouped by cost nature</x:t>
  </x:si>
  <x:si>
    <x:t xml:space="preserve">Cost category</x:t>
  </x:si>
  <x:si>
    <x:t xml:space="preserve">Q1</x:t>
  </x:si>
  <x:si>
    <x:t xml:space="preserve">Q2</x:t>
  </x:si>
  <x:si>
    <x:t xml:space="preserve">Q3</x:t>
  </x:si>
  <x:si>
    <x:t xml:space="preserve">Q4</x:t>
  </x:si>
  <x:si>
    <x:t xml:space="preserve">Total</x:t>
  </x:si>
  <x:si>
    <x:t xml:space="preserve">% of total</x:t>
  </x:si>
  <x:si>
    <x:t xml:space="preserve">Check: Tab 1 quarter totals (must equal the row above)</x:t>
  </x:si>
  <x:si>
    <x:t xml:space="preserve">Difference (must be zero)</x:t>
  </x:si>
  <x:si>
    <x:t xml:space="preserve">BUDGET FIGURES GIVEN ARE ONLY ILLUSTRATIVE AND NOT INDICATIVE OF INFORMATION OR TRENDS THAT WILL BE ASSESSED FAVOURABLY DURING SCORING.</x:t>
  </x:si>
  <x:si>
    <x:t xml:space="preserve">Budget Period: XXXX 2020 to XXXX 2020</x:t>
  </x:si>
  <x:si>
    <x:t xml:space="preserve">TOTAL BUDGET AMOUNT</x:t>
  </x:si>
  <x:si>
    <x:t xml:space="preserve">Operating Income</x:t>
  </x:si>
  <x:si>
    <x:t xml:space="preserve">Revenue from Sales</x:t>
  </x:si>
  <x:si>
    <x:t xml:space="preserve">Other</x:t>
  </x:si>
  <x:si>
    <x:t xml:space="preserve">Non-Operating Income</x:t>
  </x:si>
  <x:si>
    <x:t xml:space="preserve">Capital Contribution</x:t>
  </x:si>
  <x:si>
    <x:t xml:space="preserve">Investment</x:t>
  </x:si>
  <x:si>
    <x:t xml:space="preserve">Donations</x:t>
  </x:si>
  <x:si>
    <x:t xml:space="preserve">Expenses</x:t>
  </x:si>
  <x:si>
    <x:t xml:space="preserve">Salaries &amp; Wages</x:t>
  </x:si>
  <x:si>
    <x:t xml:space="preserve">General &amp; Administration</x:t>
  </x:si>
  <x:si>
    <x:t xml:space="preserve">Marketing &amp; Distribution</x:t>
  </x:si>
  <x:si>
    <x:t xml:space="preserve">Manufacturing</x:t>
  </x:si>
</x:sst>
</file>

<file path=xl/styles.xml><?xml version="1.0" encoding="utf-8"?>
<x:styleSheet xmlns:x="http://schemas.openxmlformats.org/spreadsheetml/2006/main">
  <x:numFmts count="9">
    <x:numFmt numFmtId="164" formatCode="General"/>
    <x:numFmt numFmtId="165" formatCode="\$#,##0.00"/>
    <x:numFmt numFmtId="166" formatCode="#,##0.00"/>
    <x:numFmt numFmtId="167" formatCode="\$#,##0"/>
    <x:numFmt numFmtId="168" formatCode="0.0%"/>
    <x:numFmt numFmtId="169" formatCode="\$#,##0;&quot;($&quot;#,##0\);\-"/>
    <x:numFmt numFmtId="170" formatCode="0.00"/>
    <x:numFmt numFmtId="200" formatCode="#,##0;(#,##0);&quot;—&quot;"/>
    <x:numFmt numFmtId="201" formatCode="0.00;-0.00;&quot;—&quot;"/>
  </x:numFmts>
  <x:fonts count="34">
    <x:font>
      <x:sz val="12"/>
      <x:color theme="1"/>
      <x:name val="Times New Roman"/>
    </x:font>
    <x:font>
      <x:sz val="10"/>
      <x:name val="Arial"/>
    </x:font>
    <x:font>
      <x:sz val="10"/>
      <x:name val="Arial"/>
    </x:font>
    <x:font>
      <x:sz val="10"/>
      <x:name val="Arial"/>
    </x:font>
    <x:font>
      <x:sz val="12"/>
      <x:color rgb="FF000000"/>
      <x:name val="Calibri"/>
    </x:font>
    <x:font>
      <x:b/>
      <x:sz val="12"/>
      <x:color rgb="FF000000"/>
      <x:name val="Calibri"/>
    </x:font>
    <x:font>
      <x:b/>
      <x:sz val="14"/>
      <x:color rgb="FF000000"/>
      <x:name val="Calibri"/>
    </x:font>
    <x:font>
      <x:b/>
      <x:sz val="11"/>
      <x:color theme="1"/>
      <x:name val="Calibri"/>
    </x:font>
    <x:font>
      <x:b/>
      <x:sz val="9"/>
      <x:name val="Calibri"/>
    </x:font>
    <x:font>
      <x:sz val="11"/>
      <x:color rgb="FF000000"/>
      <x:name val="Calibri"/>
    </x:font>
    <x:font>
      <x:i/>
      <x:sz val="9"/>
      <x:name val="Calibri"/>
    </x:font>
    <x:font>
      <x:b/>
      <x:sz val="11"/>
      <x:color rgb="FF000000"/>
      <x:name val="Calibri"/>
    </x:font>
    <x:font>
      <x:sz val="14"/>
      <x:color rgb="FF000000"/>
      <x:name val="Calibri"/>
    </x:font>
    <x:font>
      <x:b/>
      <x:sz val="11"/>
      <x:name val="Calibri"/>
    </x:font>
    <x:font>
      <x:b/>
      <x:sz val="12"/>
      <x:color rgb="FF000000"/>
      <x:name val="Calibri"/>
    </x:font>
    <x:font>
      <x:b/>
      <x:sz val="10"/>
      <x:name val="Calibri"/>
    </x:font>
    <x:font>
      <x:i/>
      <x:sz val="10"/>
      <x:name val="Calibri"/>
    </x:font>
    <x:font>
      <x:b/>
      <x:sz val="12"/>
      <x:name val="Calibri"/>
    </x:font>
    <x:font>
      <x:sz val="12"/>
      <x:color rgb="FF000000"/>
      <x:name val="Calibri"/>
    </x:font>
    <x:font>
      <x:sz val="11"/>
      <x:name val="Calibri"/>
    </x:font>
    <x:font>
      <x:b/>
      <x:sz val="12"/>
      <x:color rgb="FF4BACC6"/>
      <x:name val="Calibri"/>
    </x:font>
    <x:font>
      <x:sz val="11"/>
      <x:name val="Calibri"/>
    </x:font>
    <x:font>
      <x:sz val="11"/>
      <x:color rgb="FF0000FF"/>
      <x:name val="Calibri"/>
    </x:font>
    <x:font>
      <x:i/>
      <x:sz val="11"/>
      <x:color rgb="FF000000"/>
      <x:name val="Calibri"/>
    </x:font>
    <x:font>
      <x:b/>
      <x:sz val="12"/>
      <x:name val="Calibri"/>
    </x:font>
    <x:font>
      <x:i/>
      <x:sz val="11"/>
      <x:name val="Calibri"/>
    </x:font>
    <x:font>
      <x:sz val="11"/>
      <x:color rgb="FF008000"/>
      <x:name val="Calibri"/>
    </x:font>
    <x:font>
      <x:b/>
      <x:i/>
      <x:sz val="12"/>
      <x:color rgb="FFFF0000"/>
      <x:name val="Calibri"/>
    </x:font>
    <x:font>
      <x:sz val="12"/>
      <x:color rgb="FFFF0000"/>
      <x:name val="Calibri"/>
    </x:font>
    <x:font>
      <x:b/>
      <x:sz val="12"/>
      <x:color rgb="FF000000"/>
      <x:name val="Calibri"/>
    </x:font>
    <x:font>
      <x:sz val="11"/>
      <x:color rgb="FF000000"/>
      <x:name val="Times New Roman"/>
    </x:font>
    <x:font>
      <x:sz val="11"/>
      <x:color rgb="FF0000FF"/>
      <x:name val="Times New Roman"/>
    </x:font>
    <x:font>
      <x:sz val="11"/>
      <x:color rgb="FF008000"/>
      <x:name val="Times New Roman"/>
    </x:font>
    <x:font>
      <x:b/>
      <x:sz val="11"/>
      <x:color rgb="FF000000"/>
      <x:name val="Arial"/>
    </x:font>
  </x:fonts>
  <x:fills count="8">
    <x:fill>
      <x:patternFill patternType="none"/>
    </x:fill>
    <x:fill>
      <x:patternFill patternType="gray125"/>
    </x:fill>
    <x:fill>
      <x:patternFill patternType="solid">
        <x:fgColor theme="2"/>
      </x:patternFill>
    </x:fill>
    <x:fill>
      <x:patternFill patternType="solid">
        <x:fgColor theme="8" tint="0.7999"/>
      </x:patternFill>
    </x:fill>
    <x:fill>
      <x:patternFill patternType="solid">
        <x:fgColor rgb="FFB6DDE8"/>
      </x:patternFill>
    </x:fill>
    <x:fill>
      <x:patternFill patternType="solid">
        <x:fgColor rgb="FFFFFF00"/>
      </x:patternFill>
    </x:fill>
    <x:fill>
      <x:patternFill patternType="solid">
        <x:fgColor rgb="FFFFFFFF"/>
      </x:patternFill>
    </x:fill>
    <x:fill>
      <x:patternFill patternType="solid">
        <x:fgColor rgb="FFB7DEE8"/>
      </x:patternFill>
    </x:fill>
  </x:fills>
  <x:borders count="15">
    <x:border diagonalUp="0" diagonalDown="0"/>
    <x:border diagonalUp="0" diagonalDown="0">
      <x:left style="thin"/>
      <x:right style="thin"/>
      <x:top style="thin"/>
      <x:bottom style="thin"/>
    </x:border>
    <x:border diagonalUp="0" diagonalDown="0">
      <x:left style="thin"/>
      <x:right style="thin"/>
      <x:top style="thin"/>
    </x:border>
    <x:border diagonalUp="0" diagonalDown="0">
      <x:left style="thin"/>
      <x:top style="thin"/>
      <x:bottom style="thin"/>
    </x:border>
    <x:border diagonalUp="0" diagonalDown="0">
      <x:right style="thin"/>
      <x:top style="thin"/>
      <x:bottom style="thin"/>
    </x:border>
    <x:border diagonalUp="0" diagonalDown="0">
      <x:left style="thin"/>
      <x:right style="thin"/>
      <x:bottom style="thin"/>
    </x:border>
    <x:border diagonalUp="0" diagonalDown="0">
      <x:left style="medium"/>
      <x:right style="thin"/>
      <x:top style="medium"/>
      <x:bottom style="thin"/>
    </x:border>
    <x:border diagonalUp="0" diagonalDown="0">
      <x:left style="thin"/>
      <x:right style="thin"/>
      <x:top style="medium"/>
      <x:bottom style="thin"/>
    </x:border>
    <x:border diagonalUp="0" diagonalDown="0">
      <x:left style="thin"/>
      <x:right style="medium"/>
      <x:top style="medium"/>
      <x:bottom style="thin"/>
    </x:border>
    <x:border diagonalUp="0" diagonalDown="0">
      <x:left style="medium"/>
      <x:right style="medium"/>
      <x:top style="thin"/>
      <x:bottom style="thin"/>
    </x:border>
    <x:border diagonalUp="0" diagonalDown="0">
      <x:left style="medium"/>
      <x:right style="thin"/>
      <x:top style="thin"/>
      <x:bottom style="thin"/>
    </x:border>
    <x:border diagonalUp="0" diagonalDown="0">
      <x:left style="thin"/>
      <x:right style="medium"/>
      <x:top style="thin"/>
      <x:bottom style="thin"/>
    </x:border>
    <x:border diagonalUp="0" diagonalDown="0">
      <x:left style="medium"/>
      <x:right style="thin"/>
      <x:top style="thin"/>
      <x:bottom style="medium"/>
    </x:border>
    <x:border diagonalUp="0" diagonalDown="0">
      <x:left style="thin"/>
      <x:right style="thin"/>
      <x:top style="thin"/>
      <x:bottom style="medium"/>
    </x:border>
    <x:border diagonalUp="0" diagonalDown="0">
      <x:left style="thin"/>
      <x:right style="medium"/>
      <x:top style="thin"/>
      <x:bottom style="medium"/>
    </x:border>
  </x:borders>
  <x:cellStyleXfs count="22">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cellStyleXfs>
  <x:cellXfs count="258">
    <x:xf numFmtId="164" fontId="0" fillId="0" borderId="0" xfId="0" applyFont="0" applyBorder="0" applyAlignment="0">
      <x:alignment horizontal="general" vertical="bottom" wrapText="0"/>
    </x:xf>
    <x:xf numFmtId="164" fontId="4" fillId="0" borderId="0" xfId="20" applyFont="1" applyBorder="0" applyAlignment="0">
      <x:alignment horizontal="general" vertical="bottom" wrapText="0"/>
    </x:xf>
    <x:xf numFmtId="164" fontId="5" fillId="0" borderId="0" xfId="20" applyFont="1" applyBorder="1" applyAlignment="1">
      <x:alignment horizontal="left" vertical="bottom" wrapText="0"/>
    </x:xf>
    <x:xf numFmtId="164" fontId="6" fillId="0" borderId="0" xfId="20" applyFont="1" applyBorder="0" applyAlignment="0">
      <x:alignment horizontal="general" vertical="bottom" wrapText="0"/>
    </x:xf>
    <x:xf numFmtId="164" fontId="6" fillId="0" borderId="0" xfId="20" applyFont="1" applyBorder="0" applyAlignment="1">
      <x:alignment horizontal="left" vertical="bottom" wrapText="0"/>
    </x:xf>
    <x:xf numFmtId="164" fontId="7" fillId="0" borderId="0" xfId="0" applyFont="1" applyBorder="0" applyAlignment="0">
      <x:alignment horizontal="general" vertical="bottom" wrapText="0"/>
    </x:xf>
    <x:xf numFmtId="164" fontId="5" fillId="2" borderId="1" xfId="20" applyFont="1" applyBorder="1" applyAlignment="1">
      <x:alignment horizontal="left" vertical="bottom" wrapText="0"/>
    </x:xf>
    <x:xf numFmtId="164" fontId="5" fillId="2" borderId="2" xfId="20" applyFont="1" applyBorder="1" applyAlignment="1">
      <x:alignment horizontal="center" vertical="bottom" wrapText="0"/>
    </x:xf>
    <x:xf numFmtId="164" fontId="8" fillId="0" borderId="0" xfId="20" applyFont="1" applyBorder="0" applyAlignment="1">
      <x:alignment horizontal="general" vertical="top" wrapText="1"/>
    </x:xf>
    <x:xf numFmtId="164" fontId="5" fillId="0" borderId="0" xfId="20" applyFont="1" applyBorder="0" applyAlignment="0">
      <x:alignment horizontal="general" vertical="bottom" wrapText="0"/>
    </x:xf>
    <x:xf numFmtId="164" fontId="4" fillId="3" borderId="1" xfId="20" applyFont="1" applyBorder="1" applyAlignment="1">
      <x:alignment horizontal="general" vertical="top" wrapText="1"/>
    </x:xf>
    <x:xf numFmtId="164" fontId="9" fillId="3" borderId="3" xfId="20" applyFont="1" applyBorder="1" applyAlignment="1">
      <x:alignment horizontal="general" vertical="center" wrapText="1"/>
    </x:xf>
    <x:xf numFmtId="164" fontId="9" fillId="3" borderId="1" xfId="20" applyFont="1" applyBorder="1" applyAlignment="1">
      <x:alignment horizontal="left" vertical="center" wrapText="1"/>
    </x:xf>
    <x:xf numFmtId="164" fontId="5" fillId="3" borderId="3" xfId="20" applyFont="1" applyBorder="1" applyAlignment="1">
      <x:alignment horizontal="general" vertical="top" wrapText="1"/>
    </x:xf>
    <x:xf numFmtId="164" fontId="9" fillId="3" borderId="4" xfId="20" applyFont="1" applyBorder="1" applyAlignment="1">
      <x:alignment horizontal="general" vertical="center" wrapText="1"/>
    </x:xf>
    <x:xf numFmtId="164" fontId="9" fillId="3" borderId="5" xfId="20" applyFont="1" applyBorder="1" applyAlignment="1">
      <x:alignment horizontal="general" vertical="center" wrapText="1"/>
    </x:xf>
    <x:xf numFmtId="164" fontId="10" fillId="3" borderId="5" xfId="20" applyFont="1" applyBorder="1" applyAlignment="1">
      <x:alignment horizontal="general" vertical="top" wrapText="1"/>
    </x:xf>
    <x:xf numFmtId="164" fontId="5" fillId="4" borderId="1" xfId="21" applyFont="1" applyBorder="1" applyAlignment="1">
      <x:alignment horizontal="left" vertical="bottom" wrapText="0"/>
    </x:xf>
    <x:xf numFmtId="165" fontId="5" fillId="4" borderId="1" xfId="20" applyFont="1" applyBorder="1" applyAlignment="0">
      <x:alignment horizontal="general" vertical="bottom" wrapText="0"/>
    </x:xf>
    <x:xf numFmtId="164" fontId="11" fillId="0" borderId="1" xfId="20" applyFont="1" applyBorder="1" applyAlignment="1">
      <x:alignment horizontal="left" vertical="bottom" wrapText="0"/>
    </x:xf>
    <x:xf numFmtId="164" fontId="9" fillId="0" borderId="1" xfId="20" applyFont="1" applyBorder="1" applyAlignment="1">
      <x:alignment horizontal="general" vertical="top" wrapText="1"/>
    </x:xf>
    <x:xf numFmtId="165" fontId="9" fillId="0" borderId="1" xfId="20" applyFont="1" applyBorder="1" applyAlignment="1">
      <x:alignment horizontal="general" vertical="bottom" wrapText="1"/>
    </x:xf>
    <x:xf numFmtId="164" fontId="9" fillId="0" borderId="1" xfId="20" applyFont="1" applyBorder="1" applyAlignment="1">
      <x:alignment horizontal="left" vertical="bottom" wrapText="0"/>
    </x:xf>
    <x:xf numFmtId="165" fontId="9" fillId="0" borderId="1" xfId="20" applyFont="1" applyBorder="1" applyAlignment="1">
      <x:alignment horizontal="general" vertical="top" wrapText="0"/>
    </x:xf>
    <x:xf numFmtId="164" fontId="10" fillId="0" borderId="0" xfId="0" applyFont="1" applyBorder="0" applyAlignment="1">
      <x:alignment horizontal="general" vertical="top" wrapText="1"/>
    </x:xf>
    <x:xf numFmtId="164" fontId="9" fillId="0" borderId="1" xfId="20" applyFont="1" applyBorder="1" applyAlignment="1">
      <x:alignment horizontal="general" vertical="bottom" wrapText="1"/>
    </x:xf>
    <x:xf numFmtId="164" fontId="9" fillId="0" borderId="1" xfId="20" applyFont="1" applyBorder="1" applyAlignment="1">
      <x:alignment horizontal="left" vertical="bottom" wrapText="0"/>
    </x:xf>
    <x:xf numFmtId="164" fontId="11" fillId="0" borderId="1" xfId="21" applyFont="1" applyBorder="1" applyAlignment="1">
      <x:alignment horizontal="left" vertical="bottom" wrapText="0"/>
    </x:xf>
    <x:xf numFmtId="164" fontId="9" fillId="0" borderId="1" xfId="0" applyFont="1" applyBorder="1" applyAlignment="1">
      <x:alignment horizontal="general" vertical="top" wrapText="1"/>
    </x:xf>
    <x:xf numFmtId="164" fontId="5" fillId="4" borderId="1" xfId="20" applyFont="1" applyBorder="1" applyAlignment="1">
      <x:alignment horizontal="left" vertical="bottom" wrapText="0"/>
    </x:xf>
    <x:xf numFmtId="164" fontId="12" fillId="0" borderId="0" xfId="20" applyFont="1" applyBorder="0" applyAlignment="0">
      <x:alignment horizontal="general" vertical="bottom" wrapText="0"/>
    </x:xf>
    <x:xf numFmtId="165" fontId="5" fillId="4" borderId="1" xfId="20" applyFont="1" applyBorder="1" applyAlignment="0">
      <x:alignment horizontal="general" vertical="bottom" wrapText="0"/>
    </x:xf>
    <x:xf numFmtId="165" fontId="9" fillId="0" borderId="1" xfId="20" applyFont="1" applyBorder="1" applyAlignment="1">
      <x:alignment horizontal="general" vertical="bottom" wrapText="1"/>
    </x:xf>
    <x:xf numFmtId="165" fontId="9" fillId="0" borderId="1" xfId="0" applyFont="1" applyBorder="1" applyAlignment="1">
      <x:alignment horizontal="general" vertical="bottom" wrapText="1"/>
    </x:xf>
    <x:xf numFmtId="164" fontId="13" fillId="0" borderId="0" xfId="20" applyFont="1" applyBorder="0" applyAlignment="0">
      <x:alignment horizontal="general" vertical="bottom" wrapText="0"/>
    </x:xf>
    <x:xf numFmtId="164" fontId="4" fillId="0" borderId="0" xfId="20" applyFont="1" applyBorder="0" applyAlignment="0">
      <x:alignment horizontal="general" vertical="bottom" wrapText="0"/>
    </x:xf>
    <x:xf numFmtId="165" fontId="14" fillId="4" borderId="0" xfId="20" applyFont="1" applyBorder="0" applyAlignment="0">
      <x:alignment horizontal="general" vertical="bottom" wrapText="0"/>
    </x:xf>
    <x:xf numFmtId="165" fontId="14" fillId="4" borderId="0" xfId="0" applyFont="1" applyBorder="0" applyAlignment="0">
      <x:alignment horizontal="general" vertical="bottom" wrapText="0"/>
    </x:xf>
    <x:xf numFmtId="164" fontId="15" fillId="0" borderId="0" xfId="20" applyFont="1" applyBorder="0" applyAlignment="1">
      <x:alignment horizontal="general" vertical="top" wrapText="1"/>
    </x:xf>
    <x:xf numFmtId="164" fontId="16" fillId="0" borderId="0" xfId="20" applyFont="1" applyBorder="0" applyAlignment="1">
      <x:alignment horizontal="general" vertical="top" wrapText="1"/>
    </x:xf>
    <x:xf numFmtId="164" fontId="4" fillId="0" borderId="0" xfId="21" applyFont="1" applyBorder="0" applyAlignment="1">
      <x:alignment horizontal="general" vertical="bottom" wrapText="1"/>
    </x:xf>
    <x:xf numFmtId="164" fontId="4" fillId="0" borderId="0" xfId="21" applyFont="1" applyBorder="0" applyAlignment="0">
      <x:alignment horizontal="general" vertical="bottom" wrapText="0"/>
    </x:xf>
    <x:xf numFmtId="164" fontId="5" fillId="0" borderId="0" xfId="21" applyFont="1" applyBorder="1" applyAlignment="0">
      <x:alignment horizontal="general" vertical="bottom" wrapText="0"/>
    </x:xf>
    <x:xf numFmtId="164" fontId="17" fillId="0" borderId="0" xfId="21" applyFont="1" applyBorder="1" applyAlignment="1">
      <x:alignment horizontal="left" vertical="bottom" wrapText="1"/>
    </x:xf>
    <x:xf numFmtId="164" fontId="18" fillId="5" borderId="0" xfId="21" applyFont="1" applyBorder="1" applyAlignment="0">
      <x:alignment horizontal="general" vertical="bottom" wrapText="0"/>
    </x:xf>
    <x:xf numFmtId="164" fontId="19" fillId="0" borderId="0" xfId="21" applyFont="1" applyBorder="0" applyAlignment="0">
      <x:alignment horizontal="general" vertical="bottom" wrapText="0"/>
    </x:xf>
    <x:xf numFmtId="164" fontId="7" fillId="0" borderId="0" xfId="0" applyFont="1" applyBorder="0" applyAlignment="1">
      <x:alignment horizontal="left" vertical="bottom" wrapText="0"/>
    </x:xf>
    <x:xf numFmtId="164" fontId="5" fillId="4" borderId="1" xfId="21" applyFont="1" applyBorder="1" applyAlignment="1">
      <x:alignment horizontal="center" vertical="bottom" wrapText="1"/>
    </x:xf>
    <x:xf numFmtId="164" fontId="4" fillId="0" borderId="1" xfId="21" applyFont="1" applyBorder="1" applyAlignment="1">
      <x:alignment horizontal="general" vertical="bottom" wrapText="1"/>
    </x:xf>
    <x:xf numFmtId="164" fontId="5" fillId="0" borderId="1" xfId="21" applyFont="1" applyBorder="1" applyAlignment="1">
      <x:alignment horizontal="center" vertical="bottom" wrapText="1"/>
    </x:xf>
    <x:xf numFmtId="164" fontId="20" fillId="0" borderId="1" xfId="21" applyFont="1" applyBorder="1" applyAlignment="1">
      <x:alignment horizontal="general" vertical="bottom" wrapText="1"/>
    </x:xf>
    <x:xf numFmtId="164" fontId="9" fillId="0" borderId="1" xfId="21" applyFont="1" applyBorder="1" applyAlignment="0">
      <x:alignment horizontal="general" vertical="bottom" wrapText="0"/>
    </x:xf>
    <x:xf numFmtId="164" fontId="9" fillId="4" borderId="1" xfId="21" applyFont="1" applyBorder="1" applyAlignment="0">
      <x:alignment horizontal="general" vertical="bottom" wrapText="0"/>
    </x:xf>
    <x:xf numFmtId="164" fontId="5" fillId="0" borderId="1" xfId="21" applyFont="1" applyBorder="1" applyAlignment="1">
      <x:alignment horizontal="general" vertical="bottom" wrapText="1"/>
    </x:xf>
    <x:xf numFmtId="165" fontId="4" fillId="0" borderId="1" xfId="21" applyFont="1" applyBorder="1" applyAlignment="0">
      <x:alignment horizontal="general" vertical="bottom" wrapText="0"/>
    </x:xf>
    <x:xf numFmtId="165" fontId="4" fillId="4" borderId="1" xfId="21" applyFont="1" applyBorder="1" applyAlignment="0">
      <x:alignment horizontal="general" vertical="bottom" wrapText="0"/>
    </x:xf>
    <x:xf numFmtId="166" fontId="4" fillId="0" borderId="1" xfId="21" applyFont="1" applyBorder="1" applyAlignment="0">
      <x:alignment horizontal="general" vertical="bottom" wrapText="0"/>
    </x:xf>
    <x:xf numFmtId="166" fontId="4" fillId="4" borderId="1" xfId="21" applyFont="1" applyBorder="1" applyAlignment="0">
      <x:alignment horizontal="general" vertical="bottom" wrapText="0"/>
    </x:xf>
    <x:xf numFmtId="164" fontId="21" fillId="0" borderId="1" xfId="21" applyFont="1" applyBorder="1" applyAlignment="1">
      <x:alignment horizontal="general" vertical="top" wrapText="1"/>
    </x:xf>
    <x:xf numFmtId="165" fontId="22" fillId="0" borderId="1" xfId="21" applyFont="1" applyBorder="1" applyAlignment="0">
      <x:alignment horizontal="general" vertical="bottom" wrapText="0"/>
    </x:xf>
    <x:xf numFmtId="165" fontId="21" fillId="4" borderId="1" xfId="21" applyFont="1" applyBorder="1" applyAlignment="0">
      <x:alignment horizontal="general" vertical="bottom" wrapText="0"/>
    </x:xf>
    <x:xf numFmtId="166" fontId="19" fillId="0" borderId="1" xfId="21" applyFont="1" applyBorder="1" applyAlignment="0">
      <x:alignment horizontal="general" vertical="bottom" wrapText="0"/>
    </x:xf>
    <x:xf numFmtId="166" fontId="19" fillId="4" borderId="1" xfId="21" applyFont="1" applyBorder="1" applyAlignment="0">
      <x:alignment horizontal="general" vertical="bottom" wrapText="0"/>
    </x:xf>
    <x:xf numFmtId="164" fontId="23" fillId="0" borderId="1" xfId="21" applyFont="1" applyBorder="1" applyAlignment="1">
      <x:alignment horizontal="general" vertical="bottom" wrapText="1"/>
    </x:xf>
    <x:xf numFmtId="164" fontId="19" fillId="0" borderId="1" xfId="21" applyFont="1" applyBorder="1" applyAlignment="0">
      <x:alignment horizontal="general" vertical="bottom" wrapText="0"/>
    </x:xf>
    <x:xf numFmtId="164" fontId="19" fillId="4" borderId="1" xfId="21" applyFont="1" applyBorder="1" applyAlignment="0">
      <x:alignment horizontal="general" vertical="bottom" wrapText="0"/>
    </x:xf>
    <x:xf numFmtId="164" fontId="9" fillId="0" borderId="1" xfId="21" applyFont="1" applyBorder="1" applyAlignment="1">
      <x:alignment horizontal="general" vertical="bottom" wrapText="1"/>
    </x:xf>
    <x:xf numFmtId="164" fontId="5" fillId="4" borderId="1" xfId="21" applyFont="1" applyBorder="1" applyAlignment="1">
      <x:alignment horizontal="general" vertical="bottom" wrapText="1"/>
    </x:xf>
    <x:xf numFmtId="164" fontId="9" fillId="0" borderId="1" xfId="21" applyFont="1" applyBorder="1" applyAlignment="1">
      <x:alignment horizontal="general" vertical="bottom" wrapText="1"/>
    </x:xf>
    <x:xf numFmtId="164" fontId="19" fillId="0" borderId="1" xfId="21" applyFont="1" applyBorder="1" applyAlignment="0">
      <x:alignment horizontal="general" vertical="bottom" wrapText="0"/>
    </x:xf>
    <x:xf numFmtId="164" fontId="19" fillId="4" borderId="1" xfId="21" applyFont="1" applyBorder="1" applyAlignment="0">
      <x:alignment horizontal="general" vertical="bottom" wrapText="0"/>
    </x:xf>
    <x:xf numFmtId="166" fontId="19" fillId="0" borderId="1" xfId="21" applyFont="1" applyBorder="1" applyAlignment="0">
      <x:alignment horizontal="general" vertical="bottom" wrapText="0"/>
    </x:xf>
    <x:xf numFmtId="166" fontId="19" fillId="4" borderId="1" xfId="21" applyFont="1" applyBorder="1" applyAlignment="0">
      <x:alignment horizontal="general" vertical="bottom" wrapText="0"/>
    </x:xf>
    <x:xf numFmtId="164" fontId="4" fillId="0" borderId="0" xfId="21" applyFont="1" applyBorder="0" applyAlignment="0">
      <x:alignment horizontal="general" vertical="bottom" wrapText="0"/>
    </x:xf>
    <x:xf numFmtId="164" fontId="21" fillId="0" borderId="1" xfId="21" applyFont="1" applyBorder="1" applyAlignment="1">
      <x:alignment horizontal="general" vertical="top" wrapText="1"/>
    </x:xf>
    <x:xf numFmtId="166" fontId="4" fillId="0" borderId="1" xfId="21" applyFont="1" applyBorder="1" applyAlignment="0">
      <x:alignment horizontal="general" vertical="bottom" wrapText="0"/>
    </x:xf>
    <x:xf numFmtId="166" fontId="4" fillId="4" borderId="1" xfId="21" applyFont="1" applyBorder="1" applyAlignment="0">
      <x:alignment horizontal="general" vertical="bottom" wrapText="0"/>
    </x:xf>
    <x:xf numFmtId="164" fontId="11" fillId="0" borderId="1" xfId="21" applyFont="1" applyBorder="1" applyAlignment="1">
      <x:alignment horizontal="general" vertical="bottom" wrapText="1"/>
    </x:xf>
    <x:xf numFmtId="164" fontId="9" fillId="0" borderId="1" xfId="21" applyFont="1" applyBorder="1" applyAlignment="0">
      <x:alignment horizontal="general" vertical="bottom" wrapText="0"/>
    </x:xf>
    <x:xf numFmtId="164" fontId="9" fillId="4" borderId="1" xfId="21" applyFont="1" applyBorder="1" applyAlignment="0">
      <x:alignment horizontal="general" vertical="bottom" wrapText="0"/>
    </x:xf>
    <x:xf numFmtId="166" fontId="9" fillId="0" borderId="1" xfId="21" applyFont="1" applyBorder="1" applyAlignment="0">
      <x:alignment horizontal="general" vertical="bottom" wrapText="0"/>
    </x:xf>
    <x:xf numFmtId="166" fontId="9" fillId="4" borderId="1" xfId="21" applyFont="1" applyBorder="1" applyAlignment="0">
      <x:alignment horizontal="general" vertical="bottom" wrapText="0"/>
    </x:xf>
    <x:xf numFmtId="164" fontId="9" fillId="0" borderId="0" xfId="21" applyFont="1" applyBorder="0" applyAlignment="0">
      <x:alignment horizontal="general" vertical="bottom" wrapText="0"/>
    </x:xf>
    <x:xf numFmtId="166" fontId="9" fillId="0" borderId="1" xfId="21" applyFont="1" applyBorder="1" applyAlignment="0">
      <x:alignment horizontal="general" vertical="bottom" wrapText="0"/>
    </x:xf>
    <x:xf numFmtId="166" fontId="9" fillId="4" borderId="1" xfId="21" applyFont="1" applyBorder="1" applyAlignment="0">
      <x:alignment horizontal="general" vertical="bottom" wrapText="0"/>
    </x:xf>
    <x:xf numFmtId="164" fontId="9" fillId="0" borderId="0" xfId="21" applyFont="1" applyBorder="0" applyAlignment="1">
      <x:alignment horizontal="general" vertical="bottom" wrapText="1"/>
    </x:xf>
    <x:xf numFmtId="164" fontId="19" fillId="0" borderId="0" xfId="21" applyFont="1" applyBorder="0" applyAlignment="0">
      <x:alignment horizontal="general" vertical="bottom" wrapText="0"/>
    </x:xf>
    <x:xf numFmtId="164" fontId="19" fillId="4" borderId="0" xfId="21" applyFont="1" applyBorder="0" applyAlignment="0">
      <x:alignment horizontal="general" vertical="bottom" wrapText="0"/>
    </x:xf>
    <x:xf numFmtId="166" fontId="19" fillId="0" borderId="0" xfId="21" applyFont="1" applyBorder="0" applyAlignment="0">
      <x:alignment horizontal="general" vertical="bottom" wrapText="0"/>
    </x:xf>
    <x:xf numFmtId="166" fontId="19" fillId="4" borderId="0" xfId="21" applyFont="1" applyBorder="0" applyAlignment="0">
      <x:alignment horizontal="general" vertical="bottom" wrapText="0"/>
    </x:xf>
    <x:xf numFmtId="164" fontId="9" fillId="0" borderId="0" xfId="21" applyFont="1" applyBorder="0" applyAlignment="1">
      <x:alignment horizontal="general" vertical="bottom" wrapText="1"/>
    </x:xf>
    <x:xf numFmtId="164" fontId="15" fillId="0" borderId="0" xfId="21" applyFont="1" applyBorder="0" applyAlignment="1">
      <x:alignment horizontal="general" vertical="top" wrapText="1"/>
    </x:xf>
    <x:xf numFmtId="164" fontId="16" fillId="0" borderId="0" xfId="21" applyFont="1" applyBorder="0" applyAlignment="1">
      <x:alignment horizontal="general" vertical="top" wrapText="1"/>
    </x:xf>
    <x:xf numFmtId="164" fontId="11" fillId="0" borderId="0" xfId="21" applyFont="1" applyBorder="0" applyAlignment="1">
      <x:alignment horizontal="general" vertical="bottom" wrapText="1"/>
    </x:xf>
    <x:xf numFmtId="164" fontId="24" fillId="0" borderId="0" xfId="0" applyFont="1" applyBorder="0" applyAlignment="0">
      <x:alignment horizontal="general" vertical="bottom" wrapText="0"/>
    </x:xf>
    <x:xf numFmtId="164" fontId="13" fillId="4" borderId="0" xfId="0" applyFont="1" applyBorder="0" applyAlignment="0">
      <x:alignment horizontal="general" vertical="bottom" wrapText="0"/>
    </x:xf>
    <x:xf numFmtId="164" fontId="0" fillId="0" borderId="0" xfId="0" applyFont="1" applyBorder="0" applyAlignment="1">
      <x:alignment horizontal="general" vertical="top" wrapText="1"/>
    </x:xf>
    <x:xf numFmtId="167" fontId="22" fillId="0" borderId="0" xfId="0" applyFont="1" applyBorder="0" applyAlignment="0">
      <x:alignment horizontal="general" vertical="bottom" wrapText="0"/>
    </x:xf>
    <x:xf numFmtId="167" fontId="0" fillId="0" borderId="0" xfId="0" applyFont="0" applyBorder="0" applyAlignment="0">
      <x:alignment horizontal="general" vertical="bottom" wrapText="0"/>
    </x:xf>
    <x:xf numFmtId="168" fontId="0" fillId="0" borderId="0" xfId="0" applyFont="0" applyBorder="0" applyAlignment="0">
      <x:alignment horizontal="general" vertical="bottom" wrapText="0"/>
    </x:xf>
    <x:xf numFmtId="164" fontId="13" fillId="0" borderId="0" xfId="0" applyFont="1" applyBorder="0" applyAlignment="0">
      <x:alignment horizontal="general" vertical="bottom" wrapText="0"/>
    </x:xf>
    <x:xf numFmtId="167" fontId="13" fillId="4" borderId="0" xfId="0" applyFont="1" applyBorder="0" applyAlignment="0">
      <x:alignment horizontal="general" vertical="bottom" wrapText="0"/>
    </x:xf>
    <x:xf numFmtId="164" fontId="25" fillId="0" borderId="0" xfId="0" applyFont="1" applyBorder="0" applyAlignment="0">
      <x:alignment horizontal="general" vertical="bottom" wrapText="0"/>
    </x:xf>
    <x:xf numFmtId="167" fontId="26" fillId="0" borderId="0" xfId="0" applyFont="1" applyBorder="0" applyAlignment="0">
      <x:alignment horizontal="general" vertical="bottom" wrapText="0"/>
    </x:xf>
    <x:xf numFmtId="169" fontId="0" fillId="0" borderId="0" xfId="0" applyFont="0" applyBorder="0" applyAlignment="0">
      <x:alignment horizontal="general" vertical="bottom" wrapText="0"/>
    </x:xf>
    <x:xf numFmtId="164" fontId="10" fillId="0" borderId="0" xfId="0" applyFont="1" applyBorder="0" applyAlignment="1">
      <x:alignment horizontal="general" vertical="bottom" wrapText="1"/>
    </x:xf>
    <x:xf numFmtId="164" fontId="27" fillId="0" borderId="0" xfId="21" applyFont="1" applyBorder="1" applyAlignment="1">
      <x:alignment horizontal="left" vertical="bottom" wrapText="1"/>
    </x:xf>
    <x:xf numFmtId="164" fontId="28" fillId="0" borderId="0" xfId="21" applyFont="1" applyBorder="0" applyAlignment="1">
      <x:alignment horizontal="general" vertical="bottom" wrapText="1"/>
    </x:xf>
    <x:xf numFmtId="164" fontId="27" fillId="0" borderId="0" xfId="21" applyFont="1" applyBorder="0" applyAlignment="1">
      <x:alignment horizontal="left" vertical="bottom" wrapText="1"/>
    </x:xf>
    <x:xf numFmtId="164" fontId="4" fillId="5" borderId="0" xfId="21" applyFont="1" applyBorder="1" applyAlignment="0">
      <x:alignment horizontal="general" vertical="bottom" wrapText="0"/>
    </x:xf>
    <x:xf numFmtId="164" fontId="4" fillId="0" borderId="6" xfId="21" applyFont="1" applyBorder="1" applyAlignment="0">
      <x:alignment horizontal="general" vertical="bottom" wrapText="0"/>
    </x:xf>
    <x:xf numFmtId="164" fontId="5" fillId="0" borderId="7" xfId="21" applyFont="1" applyBorder="1" applyAlignment="1">
      <x:alignment horizontal="center" vertical="bottom" wrapText="1"/>
    </x:xf>
    <x:xf numFmtId="164" fontId="5" fillId="0" borderId="8" xfId="21" applyFont="1" applyBorder="1" applyAlignment="1">
      <x:alignment horizontal="center" vertical="bottom" wrapText="1"/>
    </x:xf>
    <x:xf numFmtId="164" fontId="5" fillId="0" borderId="0" xfId="21" applyFont="1" applyBorder="0" applyAlignment="1">
      <x:alignment horizontal="center" vertical="bottom" wrapText="0"/>
    </x:xf>
    <x:xf numFmtId="164" fontId="5" fillId="0" borderId="0" xfId="21" applyFont="1" applyBorder="0" applyAlignment="1">
      <x:alignment horizontal="center" vertical="bottom" wrapText="1"/>
    </x:xf>
    <x:xf numFmtId="164" fontId="20" fillId="0" borderId="9" xfId="21" applyFont="1" applyBorder="1" applyAlignment="1">
      <x:alignment horizontal="left" vertical="bottom" wrapText="0"/>
    </x:xf>
    <x:xf numFmtId="165" fontId="5" fillId="0" borderId="10" xfId="21" applyFont="1" applyBorder="1" applyAlignment="0">
      <x:alignment horizontal="general" vertical="bottom" wrapText="0"/>
    </x:xf>
    <x:xf numFmtId="170" fontId="4" fillId="0" borderId="1" xfId="21" applyFont="1" applyBorder="1" applyAlignment="0">
      <x:alignment horizontal="general" vertical="bottom" wrapText="0"/>
    </x:xf>
    <x:xf numFmtId="170" fontId="4" fillId="0" borderId="11" xfId="21" applyFont="1" applyBorder="1" applyAlignment="0">
      <x:alignment horizontal="general" vertical="bottom" wrapText="0"/>
    </x:xf>
    <x:xf numFmtId="165" fontId="9" fillId="0" borderId="10" xfId="21" applyFont="1" applyBorder="1" applyAlignment="0">
      <x:alignment horizontal="general" vertical="bottom" wrapText="0"/>
    </x:xf>
    <x:xf numFmtId="170" fontId="19" fillId="0" borderId="1" xfId="21" applyFont="1" applyBorder="1" applyAlignment="0">
      <x:alignment horizontal="general" vertical="bottom" wrapText="0"/>
    </x:xf>
    <x:xf numFmtId="170" fontId="9" fillId="0" borderId="11" xfId="21" applyFont="1" applyBorder="1" applyAlignment="0">
      <x:alignment horizontal="general" vertical="bottom" wrapText="0"/>
    </x:xf>
    <x:xf numFmtId="164" fontId="9" fillId="0" borderId="0" xfId="21" applyFont="1" applyBorder="0" applyAlignment="0">
      <x:alignment horizontal="general" vertical="bottom" wrapText="0"/>
    </x:xf>
    <x:xf numFmtId="170" fontId="9" fillId="0" borderId="1" xfId="21" applyFont="1" applyBorder="1" applyAlignment="0">
      <x:alignment horizontal="general" vertical="bottom" wrapText="0"/>
    </x:xf>
    <x:xf numFmtId="165" fontId="4" fillId="0" borderId="10" xfId="21" applyFont="1" applyBorder="1" applyAlignment="0">
      <x:alignment horizontal="general" vertical="bottom" wrapText="0"/>
    </x:xf>
    <x:xf numFmtId="165" fontId="9" fillId="0" borderId="10" xfId="21" applyFont="1" applyBorder="1" applyAlignment="1">
      <x:alignment horizontal="general" vertical="bottom" wrapText="1"/>
    </x:xf>
    <x:xf numFmtId="165" fontId="5" fillId="4" borderId="10" xfId="21" applyFont="1" applyBorder="1" applyAlignment="0">
      <x:alignment horizontal="general" vertical="bottom" wrapText="0"/>
    </x:xf>
    <x:xf numFmtId="165" fontId="4" fillId="4" borderId="11" xfId="21" applyFont="1" applyBorder="1" applyAlignment="0">
      <x:alignment horizontal="general" vertical="bottom" wrapText="0"/>
    </x:xf>
    <x:xf numFmtId="165" fontId="4" fillId="0" borderId="11" xfId="21" applyFont="1" applyBorder="1" applyAlignment="0">
      <x:alignment horizontal="general" vertical="bottom" wrapText="0"/>
    </x:xf>
    <x:xf numFmtId="165" fontId="20" fillId="0" borderId="9" xfId="21" applyFont="1" applyBorder="1" applyAlignment="1">
      <x:alignment horizontal="left" vertical="bottom" wrapText="0"/>
    </x:xf>
    <x:xf numFmtId="165" fontId="29" fillId="0" borderId="10" xfId="21" applyFont="1" applyBorder="1" applyAlignment="0">
      <x:alignment horizontal="general" vertical="bottom" wrapText="0"/>
    </x:xf>
    <x:xf numFmtId="165" fontId="11" fillId="0" borderId="10" xfId="21" applyFont="1" applyBorder="1" applyAlignment="0">
      <x:alignment horizontal="general" vertical="bottom" wrapText="0"/>
    </x:xf>
    <x:xf numFmtId="165" fontId="9" fillId="0" borderId="1" xfId="21" applyFont="1" applyBorder="1" applyAlignment="0">
      <x:alignment horizontal="general" vertical="bottom" wrapText="0"/>
    </x:xf>
    <x:xf numFmtId="165" fontId="9" fillId="0" borderId="11" xfId="21" applyFont="1" applyBorder="1" applyAlignment="0">
      <x:alignment horizontal="general" vertical="bottom" wrapText="0"/>
    </x:xf>
    <x:xf numFmtId="165" fontId="9" fillId="0" borderId="12" xfId="21" applyFont="1" applyBorder="1" applyAlignment="0">
      <x:alignment horizontal="general" vertical="bottom" wrapText="0"/>
    </x:xf>
    <x:xf numFmtId="165" fontId="9" fillId="0" borderId="13" xfId="21" applyFont="1" applyBorder="1" applyAlignment="0">
      <x:alignment horizontal="general" vertical="bottom" wrapText="0"/>
    </x:xf>
    <x:xf numFmtId="165" fontId="9" fillId="0" borderId="14" xfId="21" applyFont="1" applyBorder="1" applyAlignment="0">
      <x:alignment horizontal="general" vertical="bottom" wrapText="0"/>
    </x:xf>
    <x:xf numFmtId="165" fontId="9" fillId="0" borderId="0" xfId="21" applyFont="1" applyBorder="0" applyAlignment="0">
      <x:alignment horizontal="general" vertical="bottom" wrapText="0"/>
    </x:xf>
    <x:xf numFmtId="165" fontId="5" fillId="4" borderId="1" xfId="21" applyFont="1" applyBorder="1" applyAlignment="0">
      <x:alignment horizontal="general" vertical="bottom" wrapText="0"/>
    </x:xf>
    <x:xf numFmtId="164" fontId="5" fillId="0" borderId="0" xfId="21" applyFont="1" applyBorder="0" applyAlignment="0">
      <x:alignment horizontal="general" vertical="bottom" wrapText="0"/>
    </x:xf>
    <x:xf numFmtId="164" fontId="16" fillId="0" borderId="0" xfId="0" applyNumberFormat="1" applyFont="1" applyFill="1" applyBorder="1" applyAlignment="1">
      <x:alignment horizontal="general" vertical="top" wrapText="1"/>
    </x:xf>
    <x:xf numFmtId="165" fontId="22" fillId="0" borderId="1" xfId="0" applyNumberFormat="1" applyFont="1" applyFill="1" applyBorder="1" applyAlignment="1">
      <x:alignment horizontal="general" vertical="top" wrapText="0"/>
    </x:xf>
    <x:xf numFmtId="164" fontId="5" fillId="0" borderId="0" xfId="0" applyNumberFormat="1" applyFont="1" applyFill="1" applyBorder="1" applyAlignment="1">
      <x:alignment horizontal="left" vertical="bottom" wrapText="1"/>
    </x:xf>
    <x:xf numFmtId="164" fontId="6"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7" fillId="0" borderId="0" xfId="0" applyNumberFormat="1" applyFont="1" applyFill="1" applyBorder="1" applyAlignment="1">
      <x:alignment horizontal="general" vertical="bottom" wrapText="1"/>
    </x:xf>
    <x:xf numFmtId="164" fontId="4" fillId="0" borderId="0" xfId="0" applyNumberFormat="1" applyFont="1" applyFill="1" applyBorder="1" applyAlignment="1">
      <x:alignment horizontal="general" vertical="bottom" wrapText="1"/>
    </x:xf>
    <x:xf numFmtId="164" fontId="5" fillId="2" borderId="1" xfId="0" applyNumberFormat="1" applyFont="1" applyFill="1" applyBorder="1" applyAlignment="1">
      <x:alignment horizontal="left" vertical="bottom" wrapText="1"/>
    </x:xf>
    <x:xf numFmtId="164" fontId="5" fillId="2" borderId="2" xfId="0" applyNumberFormat="1" applyFont="1" applyFill="1" applyBorder="1" applyAlignment="1">
      <x:alignment horizontal="center" vertical="bottom" wrapText="1"/>
    </x:xf>
    <x:xf numFmtId="164" fontId="8" fillId="0" borderId="0" xfId="0" applyNumberFormat="1" applyFont="1" applyFill="1" applyBorder="1" applyAlignment="1">
      <x:alignment horizontal="general" vertical="top" wrapText="1"/>
    </x:xf>
    <x:xf numFmtId="164" fontId="4" fillId="3" borderId="1" xfId="0" applyNumberFormat="1" applyFont="1" applyFill="1" applyBorder="1" applyAlignment="1">
      <x:alignment horizontal="general" vertical="top" wrapText="1"/>
    </x:xf>
    <x:xf numFmtId="164" fontId="9" fillId="3" borderId="3" xfId="0" applyNumberFormat="1" applyFont="1" applyFill="1" applyBorder="1" applyAlignment="1">
      <x:alignment horizontal="general" vertical="center" wrapText="1"/>
    </x:xf>
    <x:xf numFmtId="164" fontId="9" fillId="3" borderId="1" xfId="0" applyNumberFormat="1" applyFont="1" applyFill="1" applyBorder="1" applyAlignment="1">
      <x:alignment horizontal="left" vertical="center" wrapText="1"/>
    </x:xf>
    <x:xf numFmtId="164" fontId="5" fillId="3" borderId="3" xfId="0" applyNumberFormat="1" applyFont="1" applyFill="1" applyBorder="1" applyAlignment="1">
      <x:alignment horizontal="general" vertical="top" wrapText="1"/>
    </x:xf>
    <x:xf numFmtId="164" fontId="9" fillId="3" borderId="4" xfId="0" applyNumberFormat="1" applyFont="1" applyFill="1" applyBorder="1" applyAlignment="1">
      <x:alignment horizontal="general" vertical="center" wrapText="1"/>
    </x:xf>
    <x:xf numFmtId="164" fontId="9" fillId="3" borderId="5" xfId="0" applyNumberFormat="1" applyFont="1" applyFill="1" applyBorder="1" applyAlignment="1">
      <x:alignment horizontal="general" vertical="center" wrapText="1"/>
    </x:xf>
    <x:xf numFmtId="164" fontId="10" fillId="3" borderId="5" xfId="0" applyNumberFormat="1" applyFont="1" applyFill="1" applyBorder="1" applyAlignment="1">
      <x:alignment horizontal="general" vertical="top" wrapText="1"/>
    </x:xf>
    <x:xf numFmtId="164" fontId="5" fillId="4" borderId="1" xfId="0" applyNumberFormat="1" applyFont="1" applyFill="1" applyBorder="1" applyAlignment="1">
      <x:alignment horizontal="left" vertical="bottom" wrapText="1"/>
    </x:xf>
    <x:xf numFmtId="165" fontId="5" fillId="4" borderId="1" xfId="0" applyNumberFormat="1" applyFont="1" applyFill="1" applyBorder="1" applyAlignment="1">
      <x:alignment horizontal="general" vertical="bottom" wrapText="1"/>
    </x:xf>
    <x:xf numFmtId="164" fontId="11" fillId="0" borderId="1" xfId="0" applyNumberFormat="1" applyFont="1" applyFill="1" applyBorder="1" applyAlignment="1">
      <x:alignment horizontal="left" vertical="bottom" wrapText="1"/>
    </x:xf>
    <x:xf numFmtId="164" fontId="9" fillId="0" borderId="1" xfId="0" applyNumberFormat="1" applyFont="1" applyFill="1" applyBorder="1" applyAlignment="1">
      <x:alignment horizontal="general" vertical="top" wrapText="1"/>
    </x:xf>
    <x:xf numFmtId="165" fontId="9" fillId="0" borderId="1" xfId="0" applyNumberFormat="1" applyFont="1" applyFill="1" applyBorder="1" applyAlignment="1">
      <x:alignment horizontal="general" vertical="bottom" wrapText="1"/>
    </x:xf>
    <x:xf numFmtId="164" fontId="9" fillId="0" borderId="1" xfId="0" applyNumberFormat="1" applyFont="1" applyFill="1" applyBorder="1" applyAlignment="1">
      <x:alignment horizontal="left" vertical="bottom" wrapText="1"/>
    </x:xf>
    <x:xf numFmtId="165" fontId="22" fillId="0" borderId="1" xfId="0" applyNumberFormat="1" applyFont="1" applyFill="1" applyBorder="1" applyAlignment="1">
      <x:alignment horizontal="general" vertical="top" wrapText="1"/>
    </x:xf>
    <x:xf numFmtId="164" fontId="10" fillId="0" borderId="0" xfId="0" applyNumberFormat="1" applyFont="1" applyFill="1" applyBorder="1" applyAlignment="1">
      <x:alignment horizontal="general" vertical="top" wrapText="1"/>
    </x:xf>
    <x:xf numFmtId="164" fontId="9" fillId="0" borderId="1" xfId="0" applyNumberFormat="1" applyFont="1" applyFill="1" applyBorder="1" applyAlignment="1">
      <x:alignment horizontal="general" vertical="bottom" wrapText="1"/>
    </x:xf>
    <x:xf numFmtId="164" fontId="13" fillId="0" borderId="0" xfId="0" applyNumberFormat="1" applyFont="1" applyFill="1" applyBorder="1" applyAlignment="1">
      <x:alignment horizontal="general" vertical="bottom" wrapText="1"/>
    </x:xf>
    <x:xf numFmtId="165" fontId="5" fillId="4" borderId="0" xfId="0" applyNumberFormat="1" applyFont="1" applyFill="1" applyBorder="1" applyAlignment="1">
      <x:alignment horizontal="general" vertical="bottom" wrapText="1"/>
    </x:xf>
    <x:xf numFmtId="164" fontId="15" fillId="0" borderId="0" xfId="0" applyNumberFormat="1" applyFont="1" applyFill="1" applyBorder="1" applyAlignment="1">
      <x:alignment horizontal="general" vertical="top" wrapText="1"/>
    </x:xf>
    <x:xf numFmtId="200" fontId="9" fillId="0" borderId="1" xfId="0" applyNumberFormat="1" applyFont="1" applyFill="1" applyBorder="1" applyAlignment="1">
      <x:alignment horizontal="general" vertical="bottom" wrapText="1"/>
    </x:xf>
    <x:xf numFmtId="200" fontId="22" fillId="0" borderId="1" xfId="0" applyNumberFormat="1" applyFont="1" applyFill="1" applyBorder="1" applyAlignment="1">
      <x:alignment horizontal="general" vertical="top" wrapText="1"/>
    </x:xf>
    <x:xf numFmtId="200" fontId="5" fillId="4" borderId="1" xfId="0" applyNumberFormat="1" applyFont="1" applyFill="1" applyBorder="1" applyAlignment="1">
      <x:alignment horizontal="general" vertical="bottom" wrapText="1"/>
    </x:xf>
    <x:xf numFmtId="200" fontId="5" fillId="4" borderId="0" xfId="0" applyNumberFormat="1" applyFont="1" applyFill="1" applyBorder="1" applyAlignment="1">
      <x:alignment horizontal="general" vertical="bottom" wrapText="1"/>
    </x:xf>
    <x:xf numFmtId="201" fontId="5" fillId="4" borderId="1" xfId="0" applyNumberFormat="1" applyFont="1" applyFill="1" applyBorder="1" applyAlignment="1">
      <x:alignment horizontal="general" vertical="bottom" wrapText="1"/>
    </x:xf>
    <x:xf numFmtId="201" fontId="9" fillId="0" borderId="1" xfId="0" applyNumberFormat="1" applyFont="1" applyFill="1" applyBorder="1" applyAlignment="1">
      <x:alignment horizontal="general" vertical="bottom" wrapText="1"/>
    </x:xf>
    <x:xf numFmtId="201" fontId="5" fillId="4" borderId="0" xfId="0" applyNumberFormat="1" applyFont="1" applyFill="1" applyBorder="1" applyAlignment="1">
      <x:alignment horizontal="general" vertical="bottom" wrapText="1"/>
    </x:xf>
    <x:xf numFmtId="200" fontId="22" fillId="0" borderId="0" xfId="0" applyNumberFormat="1" applyFont="1" applyFill="1" applyBorder="1" applyAlignment="1">
      <x:alignment horizontal="general" vertical="bottom" wrapText="0"/>
    </x:xf>
    <x:xf numFmtId="200" fontId="0" fillId="0" borderId="0" xfId="0" applyNumberFormat="1" applyFont="1" applyFill="1" applyBorder="1" applyAlignment="1">
      <x:alignment horizontal="general" vertical="bottom" wrapText="0"/>
    </x:xf>
    <x:xf numFmtId="200" fontId="13" fillId="4" borderId="0" xfId="0" applyNumberFormat="1" applyFont="1" applyFill="1" applyBorder="1" applyAlignment="1">
      <x:alignment horizontal="general" vertical="bottom" wrapText="0"/>
    </x:xf>
    <x:xf numFmtId="200" fontId="26" fillId="0" borderId="0" xfId="0" applyNumberFormat="1" applyFont="1" applyFill="1" applyBorder="1" applyAlignment="1">
      <x:alignment horizontal="general" vertical="bottom" wrapText="0"/>
    </x:xf>
    <x:xf numFmtId="168" fontId="0" fillId="0" borderId="0" xfId="0" applyNumberFormat="1" applyFont="1" applyFill="1" applyBorder="1" applyAlignment="1">
      <x:alignment horizontal="general" vertical="bottom" wrapText="0"/>
    </x:xf>
    <x:xf numFmtId="164" fontId="13" fillId="6" borderId="0" xfId="0" applyNumberFormat="1" applyFont="1" applyFill="1" applyBorder="1" applyAlignment="1">
      <x:alignment horizontal="general" vertical="bottom" wrapText="0"/>
    </x:xf>
    <x:xf numFmtId="200" fontId="13" fillId="6" borderId="0" xfId="0" applyNumberFormat="1" applyFont="1" applyFill="1" applyBorder="1" applyAlignment="1">
      <x:alignment horizontal="general" vertical="bottom" wrapText="0"/>
    </x:xf>
    <x:xf numFmtId="168" fontId="0" fillId="6" borderId="0" xfId="0" applyNumberFormat="1" applyFont="1" applyFill="1" applyBorder="1" applyAlignment="1">
      <x:alignment horizontal="general" vertical="bottom" wrapText="0"/>
    </x:xf>
    <x:xf numFmtId="164" fontId="30" fillId="6" borderId="0" xfId="0" applyNumberFormat="1" applyFont="1" applyFill="1" applyBorder="1" applyAlignment="1">
      <x:alignment horizontal="general" vertical="bottom" wrapText="0"/>
    </x:xf>
    <x:xf numFmtId="200" fontId="30" fillId="6" borderId="0" xfId="0" applyNumberFormat="1" applyFont="1" applyFill="1" applyBorder="1" applyAlignment="1">
      <x:alignment horizontal="general" vertical="bottom" wrapText="0"/>
    </x:xf>
    <x:xf numFmtId="168" fontId="30" fillId="6" borderId="0" xfId="0" applyNumberFormat="1" applyFont="1" applyFill="1" applyBorder="1" applyAlignment="1">
      <x:alignment horizontal="general" vertical="bottom" wrapText="0"/>
    </x:xf>
    <x:xf numFmtId="200" fontId="31" fillId="6" borderId="0" xfId="0" applyNumberFormat="1" applyFont="1" applyFill="1" applyBorder="1" applyAlignment="1">
      <x:alignment horizontal="general" vertical="bottom" wrapText="0"/>
    </x:xf>
    <x:xf numFmtId="200" fontId="32" fillId="6" borderId="0" xfId="0" applyNumberFormat="1" applyFont="1" applyFill="1" applyBorder="1" applyAlignment="1">
      <x:alignment horizontal="general" vertical="bottom" wrapText="0"/>
    </x:xf>
    <x:xf numFmtId="164" fontId="0" fillId="7" borderId="0" xfId="0" applyNumberFormat="1" applyFont="1" applyFill="1" applyBorder="1" applyAlignment="1">
      <x:alignment horizontal="general" vertical="bottom" wrapText="0"/>
    </x:xf>
    <x:xf numFmtId="200" fontId="0" fillId="7" borderId="0" xfId="0" applyNumberFormat="1" applyFont="1" applyFill="1" applyBorder="1" applyAlignment="1">
      <x:alignment horizontal="general" vertical="bottom" wrapText="0"/>
    </x:xf>
    <x:xf numFmtId="168" fontId="0" fillId="7" borderId="0" xfId="0" applyNumberFormat="1" applyFont="1" applyFill="1" applyBorder="1" applyAlignment="1">
      <x:alignment horizontal="general" vertical="bottom" wrapText="0"/>
    </x:xf>
    <x:xf numFmtId="164" fontId="33" fillId="7" borderId="0" xfId="0" applyNumberFormat="1" applyFont="1" applyFill="1" applyBorder="1" applyAlignment="1">
      <x:alignment horizontal="general" vertical="bottom" wrapText="0"/>
    </x:xf>
    <x:xf numFmtId="200" fontId="33" fillId="7" borderId="0" xfId="0" applyNumberFormat="1" applyFont="1" applyFill="1" applyBorder="1" applyAlignment="1">
      <x:alignment horizontal="general" vertical="bottom" wrapText="0"/>
    </x:xf>
    <x:xf numFmtId="168" fontId="33" fillId="7" borderId="0" xfId="0" applyNumberFormat="1" applyFont="1" applyFill="1" applyBorder="1" applyAlignment="1">
      <x:alignment horizontal="general" vertical="bottom" wrapText="0"/>
    </x:xf>
    <x:xf numFmtId="164" fontId="17" fillId="0" borderId="0" xfId="0" applyNumberFormat="1" applyFont="1" applyFill="1" applyBorder="1" applyAlignment="1">
      <x:alignment horizontal="general" vertical="bottom" wrapText="1"/>
    </x:xf>
    <x:xf numFmtId="164" fontId="13" fillId="4"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200" fontId="22" fillId="0" borderId="0" xfId="0" applyNumberFormat="1" applyFont="1" applyFill="1" applyBorder="1" applyAlignment="1">
      <x:alignment horizontal="general" vertical="bottom" wrapText="1"/>
    </x:xf>
    <x:xf numFmtId="200" fontId="0" fillId="0" borderId="0" xfId="0" applyNumberFormat="1" applyFont="1" applyFill="1" applyBorder="1" applyAlignment="1">
      <x:alignment horizontal="general" vertical="bottom" wrapText="1"/>
    </x:xf>
    <x:xf numFmtId="168" fontId="0" fillId="0" borderId="0" xfId="0" applyNumberFormat="1" applyFont="1" applyFill="1" applyBorder="1" applyAlignment="1">
      <x:alignment horizontal="general" vertical="bottom" wrapText="1"/>
    </x:xf>
    <x:xf numFmtId="164" fontId="30" fillId="6" borderId="0" xfId="0" applyNumberFormat="1" applyFont="1" applyFill="1" applyBorder="1" applyAlignment="1">
      <x:alignment horizontal="general" vertical="bottom" wrapText="1"/>
    </x:xf>
    <x:xf numFmtId="200" fontId="32" fillId="6" borderId="0" xfId="0" applyNumberFormat="1" applyFont="1" applyFill="1" applyBorder="1" applyAlignment="1">
      <x:alignment horizontal="general" vertical="bottom" wrapText="1"/>
    </x:xf>
    <x:xf numFmtId="200" fontId="30" fillId="6" borderId="0" xfId="0" applyNumberFormat="1" applyFont="1" applyFill="1" applyBorder="1" applyAlignment="1">
      <x:alignment horizontal="general" vertical="bottom" wrapText="1"/>
    </x:xf>
    <x:xf numFmtId="168" fontId="30" fillId="6" borderId="0" xfId="0" applyNumberFormat="1" applyFont="1" applyFill="1" applyBorder="1" applyAlignment="1">
      <x:alignment horizontal="general" vertical="bottom" wrapText="1"/>
    </x:xf>
    <x:xf numFmtId="164" fontId="33" fillId="7" borderId="0" xfId="0" applyNumberFormat="1" applyFont="1" applyFill="1" applyBorder="1" applyAlignment="1">
      <x:alignment horizontal="general" vertical="bottom" wrapText="1"/>
    </x:xf>
    <x:xf numFmtId="200" fontId="33" fillId="7" borderId="0" xfId="0" applyNumberFormat="1" applyFont="1" applyFill="1" applyBorder="1" applyAlignment="1">
      <x:alignment horizontal="general" vertical="bottom" wrapText="1"/>
    </x:xf>
    <x:xf numFmtId="168" fontId="33" fillId="7" borderId="0" xfId="0" applyNumberFormat="1" applyFont="1" applyFill="1" applyBorder="1" applyAlignment="1">
      <x:alignment horizontal="general" vertical="bottom" wrapText="1"/>
    </x:xf>
    <x:xf numFmtId="164" fontId="25" fillId="0" borderId="0" xfId="0" applyNumberFormat="1" applyFont="1" applyFill="1" applyBorder="1" applyAlignment="1">
      <x:alignment horizontal="general" vertical="bottom" wrapText="1"/>
    </x:xf>
    <x:xf numFmtId="200" fontId="26" fillId="0" borderId="0" xfId="0" applyNumberFormat="1" applyFont="1" applyFill="1" applyBorder="1" applyAlignment="1">
      <x:alignment horizontal="general" vertical="bottom" wrapText="1"/>
    </x:xf>
    <x:xf numFmtId="164" fontId="10" fillId="0" borderId="0" xfId="0" applyNumberFormat="1" applyFont="1" applyFill="1" applyBorder="1" applyAlignment="1">
      <x:alignment horizontal="general" vertical="bottom" wrapText="1"/>
    </x:xf>
    <x:xf numFmtId="164" fontId="5" fillId="0" borderId="0" xfId="0" applyNumberFormat="1" applyFont="1" applyFill="1" applyBorder="1" applyAlignment="1">
      <x:alignment horizontal="general" vertical="bottom" wrapText="1"/>
    </x:xf>
    <x:xf numFmtId="164" fontId="17" fillId="0" borderId="0" xfId="0" applyNumberFormat="1" applyFont="1" applyFill="1" applyBorder="1" applyAlignment="1">
      <x:alignment horizontal="left" vertical="bottom" wrapText="1"/>
    </x:xf>
    <x:xf numFmtId="164" fontId="4" fillId="5" borderId="0" xfId="0" applyNumberFormat="1" applyFont="1" applyFill="1" applyBorder="1" applyAlignment="1">
      <x:alignment horizontal="general" vertical="bottom" wrapText="1"/>
    </x:xf>
    <x:xf numFmtId="164" fontId="19" fillId="0" borderId="0" xfId="0" applyNumberFormat="1" applyFont="1" applyFill="1" applyBorder="1" applyAlignment="1">
      <x:alignment horizontal="general" vertical="bottom" wrapText="1"/>
    </x:xf>
    <x:xf numFmtId="164" fontId="7" fillId="0" borderId="0" xfId="0" applyNumberFormat="1" applyFont="1" applyFill="1" applyBorder="1" applyAlignment="1">
      <x:alignment horizontal="left" vertical="bottom" wrapText="1"/>
    </x:xf>
    <x:xf numFmtId="164" fontId="5" fillId="4" borderId="1" xfId="0" applyNumberFormat="1" applyFont="1" applyFill="1" applyBorder="1" applyAlignment="1">
      <x:alignment horizontal="center" vertical="bottom" wrapText="1"/>
    </x:xf>
    <x:xf numFmtId="164" fontId="4" fillId="0" borderId="1" xfId="0" applyNumberFormat="1" applyFont="1" applyFill="1" applyBorder="1" applyAlignment="1">
      <x:alignment horizontal="general" vertical="bottom" wrapText="1"/>
    </x:xf>
    <x:xf numFmtId="164" fontId="5" fillId="0" borderId="1" xfId="0" applyNumberFormat="1" applyFont="1" applyFill="1" applyBorder="1" applyAlignment="1">
      <x:alignment horizontal="center" vertical="bottom" wrapText="1"/>
    </x:xf>
    <x:xf numFmtId="164" fontId="20" fillId="0" borderId="1" xfId="0" applyNumberFormat="1" applyFont="1" applyFill="1" applyBorder="1" applyAlignment="1">
      <x:alignment horizontal="general" vertical="bottom" wrapText="1"/>
    </x:xf>
    <x:xf numFmtId="164" fontId="9" fillId="4" borderId="1" xfId="0" applyNumberFormat="1" applyFont="1" applyFill="1" applyBorder="1" applyAlignment="1">
      <x:alignment horizontal="general" vertical="bottom" wrapText="1"/>
    </x:xf>
    <x:xf numFmtId="164" fontId="5" fillId="0" borderId="1" xfId="0" applyNumberFormat="1" applyFont="1" applyFill="1" applyBorder="1" applyAlignment="1">
      <x:alignment horizontal="general" vertical="bottom" wrapText="1"/>
    </x:xf>
    <x:xf numFmtId="165" fontId="4" fillId="0" borderId="1" xfId="0" applyNumberFormat="1" applyFont="1" applyFill="1" applyBorder="1" applyAlignment="1">
      <x:alignment horizontal="general" vertical="bottom" wrapText="1"/>
    </x:xf>
    <x:xf numFmtId="165" fontId="4" fillId="4" borderId="1" xfId="0" applyNumberFormat="1" applyFont="1" applyFill="1" applyBorder="1" applyAlignment="1">
      <x:alignment horizontal="general" vertical="bottom" wrapText="1"/>
    </x:xf>
    <x:xf numFmtId="166" fontId="4" fillId="0" borderId="1" xfId="0" applyNumberFormat="1" applyFont="1" applyFill="1" applyBorder="1" applyAlignment="1">
      <x:alignment horizontal="general" vertical="bottom" wrapText="1"/>
    </x:xf>
    <x:xf numFmtId="166" fontId="4" fillId="4" borderId="1" xfId="0" applyNumberFormat="1" applyFont="1" applyFill="1" applyBorder="1" applyAlignment="1">
      <x:alignment horizontal="general" vertical="bottom" wrapText="1"/>
    </x:xf>
    <x:xf numFmtId="164" fontId="19" fillId="0" borderId="1" xfId="0" applyNumberFormat="1" applyFont="1" applyFill="1" applyBorder="1" applyAlignment="1">
      <x:alignment horizontal="general" vertical="top" wrapText="1"/>
    </x:xf>
    <x:xf numFmtId="165" fontId="22" fillId="0" borderId="1" xfId="0" applyNumberFormat="1" applyFont="1" applyFill="1" applyBorder="1" applyAlignment="1">
      <x:alignment horizontal="general" vertical="bottom" wrapText="1"/>
    </x:xf>
    <x:xf numFmtId="165" fontId="19" fillId="4" borderId="1" xfId="0" applyNumberFormat="1" applyFont="1" applyFill="1" applyBorder="1" applyAlignment="1">
      <x:alignment horizontal="general" vertical="bottom" wrapText="1"/>
    </x:xf>
    <x:xf numFmtId="166" fontId="19" fillId="0" borderId="1" xfId="0" applyNumberFormat="1" applyFont="1" applyFill="1" applyBorder="1" applyAlignment="1">
      <x:alignment horizontal="general" vertical="bottom" wrapText="1"/>
    </x:xf>
    <x:xf numFmtId="166" fontId="19" fillId="4" borderId="1" xfId="0" applyNumberFormat="1" applyFont="1" applyFill="1" applyBorder="1" applyAlignment="1">
      <x:alignment horizontal="general" vertical="bottom" wrapText="1"/>
    </x:xf>
    <x:xf numFmtId="164" fontId="23" fillId="0" borderId="1" xfId="0" applyNumberFormat="1" applyFont="1" applyFill="1" applyBorder="1" applyAlignment="1">
      <x:alignment horizontal="general" vertical="bottom" wrapText="1"/>
    </x:xf>
    <x:xf numFmtId="164" fontId="19" fillId="0" borderId="1" xfId="0" applyNumberFormat="1" applyFont="1" applyFill="1" applyBorder="1" applyAlignment="1">
      <x:alignment horizontal="general" vertical="bottom" wrapText="1"/>
    </x:xf>
    <x:xf numFmtId="164" fontId="19" fillId="4" borderId="1" xfId="0" applyNumberFormat="1" applyFont="1" applyFill="1" applyBorder="1" applyAlignment="1">
      <x:alignment horizontal="general" vertical="bottom" wrapText="1"/>
    </x:xf>
    <x:xf numFmtId="164" fontId="5" fillId="4" borderId="1" xfId="0" applyNumberFormat="1" applyFont="1" applyFill="1" applyBorder="1" applyAlignment="1">
      <x:alignment horizontal="general" vertical="bottom" wrapText="1"/>
    </x:xf>
    <x:xf numFmtId="164" fontId="11" fillId="0" borderId="1" xfId="0" applyNumberFormat="1" applyFont="1" applyFill="1" applyBorder="1" applyAlignment="1">
      <x:alignment horizontal="general" vertical="bottom" wrapText="1"/>
    </x:xf>
    <x:xf numFmtId="166" fontId="9" fillId="0" borderId="1" xfId="0" applyNumberFormat="1" applyFont="1" applyFill="1" applyBorder="1" applyAlignment="1">
      <x:alignment horizontal="general" vertical="bottom" wrapText="1"/>
    </x:xf>
    <x:xf numFmtId="166" fontId="9" fillId="4" borderId="1" xfId="0" applyNumberFormat="1" applyFont="1" applyFill="1" applyBorder="1" applyAlignment="1">
      <x:alignment horizontal="general" vertical="bottom" wrapText="1"/>
    </x:xf>
    <x:xf numFmtId="164" fontId="9" fillId="0" borderId="0" xfId="0" applyNumberFormat="1" applyFont="1" applyFill="1" applyBorder="1" applyAlignment="1">
      <x:alignment horizontal="general" vertical="bottom" wrapText="1"/>
    </x:xf>
    <x:xf numFmtId="164" fontId="19" fillId="4" borderId="0" xfId="0" applyNumberFormat="1" applyFont="1" applyFill="1" applyBorder="1" applyAlignment="1">
      <x:alignment horizontal="general" vertical="bottom" wrapText="1"/>
    </x:xf>
    <x:xf numFmtId="166" fontId="19" fillId="0" borderId="0" xfId="0" applyNumberFormat="1" applyFont="1" applyFill="1" applyBorder="1" applyAlignment="1">
      <x:alignment horizontal="general" vertical="bottom" wrapText="1"/>
    </x:xf>
    <x:xf numFmtId="166" fontId="19" fillId="4" borderId="0" xfId="0" applyNumberFormat="1" applyFont="1" applyFill="1" applyBorder="1" applyAlignment="1">
      <x:alignment horizontal="general" vertical="bottom" wrapText="1"/>
    </x:xf>
    <x:xf numFmtId="200" fontId="4" fillId="0" borderId="1" xfId="0" applyNumberFormat="1" applyFont="1" applyFill="1" applyBorder="1" applyAlignment="1">
      <x:alignment horizontal="general" vertical="bottom" wrapText="1"/>
    </x:xf>
    <x:xf numFmtId="200" fontId="4" fillId="4" borderId="1" xfId="0" applyNumberFormat="1" applyFont="1" applyFill="1" applyBorder="1" applyAlignment="1">
      <x:alignment horizontal="general" vertical="bottom" wrapText="1"/>
    </x:xf>
    <x:xf numFmtId="200" fontId="22" fillId="0" borderId="1" xfId="0" applyNumberFormat="1" applyFont="1" applyFill="1" applyBorder="1" applyAlignment="1">
      <x:alignment horizontal="general" vertical="bottom" wrapText="1"/>
    </x:xf>
    <x:xf numFmtId="200" fontId="19" fillId="4" borderId="1" xfId="0" applyNumberFormat="1" applyFont="1" applyFill="1" applyBorder="1" applyAlignment="1">
      <x:alignment horizontal="general" vertical="bottom" wrapText="1"/>
    </x:xf>
    <x:xf numFmtId="200" fontId="19" fillId="0" borderId="1" xfId="0" applyNumberFormat="1" applyFont="1" applyFill="1" applyBorder="1" applyAlignment="1">
      <x:alignment horizontal="general" vertical="bottom" wrapText="1"/>
    </x:xf>
    <x:xf numFmtId="200" fontId="9" fillId="4" borderId="1" xfId="0" applyNumberFormat="1" applyFont="1" applyFill="1" applyBorder="1" applyAlignment="1">
      <x:alignment horizontal="general" vertical="bottom" wrapText="1"/>
    </x:xf>
    <x:xf numFmtId="200" fontId="19" fillId="0" borderId="0" xfId="0" applyNumberFormat="1" applyFont="1" applyFill="1" applyBorder="1" applyAlignment="1">
      <x:alignment horizontal="general" vertical="bottom" wrapText="1"/>
    </x:xf>
    <x:xf numFmtId="200" fontId="19" fillId="4" borderId="0" xfId="0" applyNumberFormat="1" applyFont="1" applyFill="1" applyBorder="1" applyAlignment="1">
      <x:alignment horizontal="general" vertical="bottom" wrapText="1"/>
    </x:xf>
    <x:xf numFmtId="200" fontId="26" fillId="0" borderId="1" xfId="0" applyNumberFormat="1" applyFont="1" applyFill="1" applyBorder="1" applyAlignment="1">
      <x:alignment horizontal="general" vertical="bottom" wrapText="1"/>
    </x:xf>
    <x:xf numFmtId="201" fontId="4" fillId="0" borderId="1" xfId="0" applyNumberFormat="1" applyFont="1" applyFill="1" applyBorder="1" applyAlignment="1">
      <x:alignment horizontal="general" vertical="bottom" wrapText="1"/>
    </x:xf>
    <x:xf numFmtId="201" fontId="4" fillId="4" borderId="1" xfId="0" applyNumberFormat="1" applyFont="1" applyFill="1" applyBorder="1" applyAlignment="1">
      <x:alignment horizontal="general" vertical="bottom" wrapText="1"/>
    </x:xf>
    <x:xf numFmtId="201" fontId="19" fillId="0" borderId="1" xfId="0" applyNumberFormat="1" applyFont="1" applyFill="1" applyBorder="1" applyAlignment="1">
      <x:alignment horizontal="general" vertical="bottom" wrapText="1"/>
    </x:xf>
    <x:xf numFmtId="201" fontId="19" fillId="4" borderId="1" xfId="0" applyNumberFormat="1" applyFont="1" applyFill="1" applyBorder="1" applyAlignment="1">
      <x:alignment horizontal="general" vertical="bottom" wrapText="1"/>
    </x:xf>
    <x:xf numFmtId="201" fontId="9" fillId="4" borderId="1" xfId="0" applyNumberFormat="1" applyFont="1" applyFill="1" applyBorder="1" applyAlignment="1">
      <x:alignment horizontal="general" vertical="bottom" wrapText="1"/>
    </x:xf>
    <x:xf numFmtId="201" fontId="19" fillId="0" borderId="0" xfId="0" applyNumberFormat="1" applyFont="1" applyFill="1" applyBorder="1" applyAlignment="1">
      <x:alignment horizontal="general" vertical="bottom" wrapText="1"/>
    </x:xf>
    <x:xf numFmtId="201" fontId="19" fillId="4" borderId="0" xfId="0" applyNumberFormat="1" applyFont="1" applyFill="1" applyBorder="1" applyAlignment="1">
      <x:alignment horizontal="general" vertical="bottom" wrapText="1"/>
    </x:xf>
  </x:cellXfs>
  <x:cellStyles count="8">
    <x:cellStyle name="Normal" xfId="0"/>
    <x:cellStyle name="Comma" xfId="15"/>
    <x:cellStyle name="Comma [0]" xfId="16"/>
    <x:cellStyle name="Currency" xfId="17"/>
    <x:cellStyle name="Currency [0]" xfId="18"/>
    <x:cellStyle name="Percent" xfId="19"/>
    <x:cellStyle name="Normal 2" xfId="20"/>
    <x:cellStyle name="Normal 3" xfId="21"/>
  </x:cellStyles>
  <x:colors>
    <x:indexedColors>
      <x:rgbColor rgb="FF000000"/>
      <x:rgbColor rgb="FFE7E6E6"/>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DAE3F3"/>
      <x:rgbColor rgb="FF660066"/>
      <x:rgbColor rgb="FFFF8080"/>
      <x:rgbColor rgb="FF0066CC"/>
      <x:rgbColor rgb="FFB6DDE8"/>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4BACC6"/>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69537c96b4a4654" /><Relationship Type="http://schemas.openxmlformats.org/officeDocument/2006/relationships/theme" Target="/xl/theme/theme1.xml" Id="R07e16c2b4c324838" /><Relationship Type="http://schemas.openxmlformats.org/officeDocument/2006/relationships/sharedStrings" Target="/xl/sharedStrings.xml" Id="R550efc3520564c97" /><Relationship Type="http://schemas.openxmlformats.org/officeDocument/2006/relationships/worksheet" Target="/xl/worksheets/sheet1.xml" Id="R036b1b3e3fe14819" /><Relationship Type="http://schemas.openxmlformats.org/officeDocument/2006/relationships/worksheet" Target="/xl/worksheets/sheet2.xml" Id="R78a585b0b2494e85" /><Relationship Type="http://schemas.openxmlformats.org/officeDocument/2006/relationships/worksheet" Target="/xl/worksheets/sheet3.xml" Id="R9035e50cc03044f2" /><Relationship Type="http://schemas.openxmlformats.org/officeDocument/2006/relationships/worksheet" Target="/xl/worksheets/sheet4.xml" Id="R04731cd958464151" /></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87890625" defaultRowHeight="15"/>
  <x:cols>
    <x:col min="1" max="1" width="18" style="1" hidden="0" customWidth="1"/>
    <x:col min="2" max="2" width="81.12000274658203" style="1" hidden="0" customWidth="1"/>
    <x:col min="3" max="3" width="41.880001068115234" style="1" hidden="0" customWidth="1"/>
    <x:col min="4" max="4" width="41.5" style="1" hidden="0" customWidth="1"/>
    <x:col min="5" max="5" width="44" style="1" hidden="0" customWidth="1"/>
    <x:col min="6" max="16384" width="8.880000114440918" style="1" hidden="0" customWidth="0"/>
  </x:cols>
  <x:sheetData>
    <x:row r="1" s="4" customFormat="1" ht="18" hidden="0" customHeight="1">
      <x:c r="A1" s="142" t="s">
        <x:v>0</x:v>
      </x:c>
      <x:c r="B1" s="142"/>
      <x:c r="C1" s="142"/>
      <x:c r="D1" s="143"/>
      <x:c r="E1" s="144"/>
    </x:row>
    <x:row r="2" s="3" customFormat="1" ht="18" hidden="0" customHeight="1">
      <x:c r="A2" s="145" t="s">
        <x:v>1</x:v>
      </x:c>
      <x:c r="B2" s="146" t="str">
        <x:v>Cartagena On Chain — Galeon</x:v>
      </x:c>
      <x:c r="C2" s="144"/>
      <x:c r="D2" s="144"/>
      <x:c r="E2" s="146"/>
    </x:row>
    <x:row r="3" s="9" customFormat="1" ht="27.75" hidden="0" customHeight="1">
      <x:c r="A3" s="147" t="s">
        <x:v>2</x:v>
      </x:c>
      <x:c r="B3" s="147" t="s">
        <x:v>3</x:v>
      </x:c>
      <x:c r="C3" s="148" t="s">
        <x:v>4</x:v>
      </x:c>
      <x:c r="D3" s="148"/>
      <x:c r="E3" s="149" t="s">
        <x:v>5</x:v>
      </x:c>
    </x:row>
    <x:row r="4" s="9" customFormat="1" ht="165.75" hidden="0" customHeight="1">
      <x:c r="A4" s="150"/>
      <x:c r="B4" s="151" t="s">
        <x:v>6</x:v>
      </x:c>
      <x:c r="C4" s="152" t="s">
        <x:v>7</x:v>
      </x:c>
      <x:c r="D4" s="152"/>
      <x:c r="E4" s="146"/>
    </x:row>
    <x:row r="5" s="9" customFormat="1" ht="33" hidden="0" customHeight="1">
      <x:c r="A5" s="153" t="s">
        <x:v>8</x:v>
      </x:c>
      <x:c r="B5" s="154" t="str">
        <x:v>USD-denominated proposal; funding requested in USDC</x:v>
      </x:c>
      <x:c r="C5" s="155" t="s">
        <x:v>9</x:v>
      </x:c>
      <x:c r="D5" s="156" t="str">
        <x:v>ETH (not requested)</x:v>
      </x:c>
      <x:c r="E5" s="144"/>
    </x:row>
    <x:row r="6" s="9" customFormat="1" ht="30" hidden="0" customHeight="1">
      <x:c r="A6" s="157" t="s">
        <x:v>10</x:v>
      </x:c>
      <x:c r="B6" s="157"/>
      <x:c r="C6" s="158" t="n">
        <x:f aca="0">SUM(C7:C26)</x:f>
        <x:v>15900</x:v>
      </x:c>
      <x:c r="D6" s="173" t="n">
        <x:f aca="0">SUM(D7:D26)</x:f>
        <x:v>0</x:v>
      </x:c>
      <x:c r="E6" s="144"/>
    </x:row>
    <x:row r="7" ht="48" hidden="0" customHeight="1">
      <x:c r="A7" s="159" t="s">
        <x:v>11</x:v>
      </x:c>
      <x:c r="B7" s="160" t="str">
        <x:v>Day-30 technical decisions and testnet integration</x:v>
      </x:c>
      <x:c r="C7" s="169"/>
      <x:c r="D7" s="174"/>
      <x:c r="E7" s="144"/>
    </x:row>
    <x:row r="8" ht="78" hidden="0" customHeight="1">
      <x:c r="A8" s="162" t="s">
        <x:v>12</x:v>
      </x:c>
      <x:c r="B8" s="160" t="str">
        <x:v>Decide the multipayment path, upstream version and primary network by day 30.</x:v>
      </x:c>
      <x:c r="C8" s="170" t="n">
        <x:v>1240</x:v>
      </x:c>
      <x:c r="D8" s="174"/>
      <x:c r="E8" s="164" t="str">
        <x:v>Core team 1,240</x:v>
      </x:c>
    </x:row>
    <x:row r="9" ht="78" hidden="0" customHeight="1">
      <x:c r="A9" s="162" t="s">
        <x:v>13</x:v>
      </x:c>
      <x:c r="B9" s="160" t="str">
        <x:v>Integrate stealth receipts, ERC-20 pool and services on the selected testnet.</x:v>
      </x:c>
      <x:c r="C9" s="170" t="n">
        <x:v>1860</x:v>
      </x:c>
      <x:c r="D9" s="174"/>
      <x:c r="E9" s="164" t="str">
        <x:v>Core team 1,260 + Infrastructure 600</x:v>
      </x:c>
    </x:row>
    <x:row r="10" ht="15" hidden="0" customHeight="1">
      <x:c r="A10" s="162"/>
      <x:c r="B10" s="165"/>
      <x:c r="C10" s="169"/>
      <x:c r="D10" s="174"/>
      <x:c r="E10" s="144"/>
    </x:row>
    <x:row r="11" ht="48" hidden="0" customHeight="1">
      <x:c r="A11" s="159" t="s">
        <x:v>14</x:v>
      </x:c>
      <x:c r="B11" s="160" t="str">
        <x:v>Authority design, disclosure feasibility and early security foundations</x:v>
      </x:c>
      <x:c r="C11" s="169"/>
      <x:c r="D11" s="174"/>
      <x:c r="E11" s="144"/>
    </x:row>
    <x:row r="12" ht="78" hidden="0" customHeight="1">
      <x:c r="A12" s="162" t="s">
        <x:v>12</x:v>
      </x:c>
      <x:c r="B12" s="160" t="str">
        <x:v>Map privileged powers and begin ASP, wallet and PWA control foundations.</x:v>
      </x:c>
      <x:c r="C12" s="170" t="n">
        <x:v>1500</x:v>
      </x:c>
      <x:c r="D12" s="174"/>
      <x:c r="E12" s="164" t="str">
        <x:v>Core team 1,500</x:v>
      </x:c>
    </x:row>
    <x:row r="13" ht="78" hidden="0" customHeight="1">
      <x:c r="A13" s="162" t="s">
        <x:v>13</x:v>
      </x:c>
      <x:c r="B13" s="160" t="str">
        <x:v>Demonstrate selective disclosure of a supported receipt-to-withdrawal history.</x:v>
      </x:c>
      <x:c r="C13" s="170" t="n">
        <x:v>1300</x:v>
      </x:c>
      <x:c r="D13" s="174"/>
      <x:c r="E13" s="164" t="str">
        <x:v>Core team 1,300</x:v>
      </x:c>
    </x:row>
    <x:row r="14" ht="15" hidden="0" customHeight="1">
      <x:c r="A14" s="162"/>
      <x:c r="B14" s="165"/>
      <x:c r="C14" s="169"/>
      <x:c r="D14" s="174"/>
      <x:c r="E14" s="144"/>
    </x:row>
    <x:row r="15" ht="48" hidden="0" customHeight="1">
      <x:c r="A15" s="159" t="s">
        <x:v>15</x:v>
      </x:c>
      <x:c r="B15" s="160" t="str">
        <x:v>Pool measurement, privacy threat model and recruitment pipeline</x:v>
      </x:c>
      <x:c r="C15" s="169"/>
      <x:c r="D15" s="174"/>
      <x:c r="E15" s="144"/>
    </x:row>
    <x:row r="16" ht="78" hidden="0" customHeight="1">
      <x:c r="A16" s="162" t="s">
        <x:v>12</x:v>
      </x:c>
      <x:c r="B16" s="160" t="str">
        <x:v>Build source-aware pool telemetry and the withdrawal-specific privacy model.</x:v>
      </x:c>
      <x:c r="C16" s="170" t="n">
        <x:v>850</x:v>
      </x:c>
      <x:c r="D16" s="174"/>
      <x:c r="E16" s="164" t="str">
        <x:v>Core team 850</x:v>
      </x:c>
    </x:row>
    <x:row r="17" s="9" customFormat="1" ht="78" hidden="0" customHeight="1">
      <x:c r="A17" s="162" t="s">
        <x:v>13</x:v>
      </x:c>
      <x:c r="B17" s="160" t="str">
        <x:v>Recruit testnet testers and qualify voluntary funding and integration channels.</x:v>
      </x:c>
      <x:c r="C17" s="170" t="n">
        <x:v>1150</x:v>
      </x:c>
      <x:c r="D17" s="174"/>
      <x:c r="E17" s="164" t="str">
        <x:v>Core team 850 + Participation 300</x:v>
      </x:c>
    </x:row>
    <x:row r="18" s="9" customFormat="1" ht="15" hidden="0" customHeight="1">
      <x:c r="A18" s="162"/>
      <x:c r="B18" s="165"/>
      <x:c r="C18" s="169"/>
      <x:c r="D18" s="174"/>
      <x:c r="E18" s="144"/>
    </x:row>
    <x:row r="19" ht="48" hidden="0" customHeight="1">
      <x:c r="A19" s="159" t="s">
        <x:v>16</x:v>
      </x:c>
      <x:c r="B19" s="160" t="str">
        <x:v>Partner, operator, evaluator and legal/resource plan</x:v>
      </x:c>
      <x:c r="C19" s="169"/>
      <x:c r="D19" s="174"/>
      <x:c r="E19" s="144"/>
    </x:row>
    <x:row r="20" ht="78" hidden="0" customHeight="1">
      <x:c r="A20" s="162" t="s">
        <x:v>12</x:v>
      </x:c>
      <x:c r="B20" s="160" t="str">
        <x:v>Qualify the anchor, validators, independent operator and reviewer candidates.</x:v>
      </x:c>
      <x:c r="C20" s="170" t="n">
        <x:v>750</x:v>
      </x:c>
      <x:c r="D20" s="174"/>
      <x:c r="E20" s="164" t="str">
        <x:v>Core team 550 + Partner preparation 200</x:v>
      </x:c>
    </x:row>
    <x:row r="21" ht="78" hidden="0" customHeight="1">
      <x:c r="A21" s="162" t="s">
        <x:v>13</x:v>
      </x:c>
      <x:c r="B21" s="160" t="str">
        <x:v>Commission the role-classification review and establish procurement/reporting controls.</x:v>
      </x:c>
      <x:c r="C21" s="170" t="n">
        <x:v>3350</x:v>
      </x:c>
      <x:c r="D21" s="174"/>
      <x:c r="E21" s="164" t="str">
        <x:v>Core team 550 + Legal 2,500 + General administration 300</x:v>
      </x:c>
    </x:row>
    <x:row r="22" ht="15" hidden="0" customHeight="1">
      <x:c r="A22" s="162"/>
      <x:c r="B22" s="165"/>
      <x:c r="C22" s="169"/>
      <x:c r="D22" s="174"/>
      <x:c r="E22" s="144"/>
    </x:row>
    <x:row r="23" ht="48" hidden="0" customHeight="1">
      <x:c r="A23" s="159" t="s">
        <x:v>17</x:v>
      </x:c>
      <x:c r="B23" s="160" t="str">
        <x:v>Validation and feedback — testnet alpha</x:v>
      </x:c>
      <x:c r="C23" s="169"/>
      <x:c r="D23" s="174"/>
      <x:c r="E23" s="144"/>
    </x:row>
    <x:row r="24" ht="78" hidden="0" customHeight="1">
      <x:c r="A24" s="162" t="s">
        <x:v>12</x:v>
      </x:c>
      <x:c r="B24" s="160" t="str">
        <x:v>Validate testnet tasks and baseline the mobile-first PWA on physical Android devices.</x:v>
      </x:c>
      <x:c r="C24" s="170" t="n">
        <x:v>1450</x:v>
      </x:c>
      <x:c r="D24" s="174"/>
      <x:c r="E24" s="164" t="str">
        <x:v>Core team 950 + Infrastructure 400 + Participation 100</x:v>
      </x:c>
    </x:row>
    <x:row r="25" ht="78" hidden="0" customHeight="1">
      <x:c r="A25" s="162" t="s">
        <x:v>13</x:v>
      </x:c>
      <x:c r="B25" s="160" t="str">
        <x:v>Prepare independent review, provenance evidence and the Q2 capacity checkpoint.</x:v>
      </x:c>
      <x:c r="C25" s="170" t="n">
        <x:v>2450</x:v>
      </x:c>
      <x:c r="D25" s="174"/>
      <x:c r="E25" s="164" t="str">
        <x:v>Core team 950 + Security review 1,500</x:v>
      </x:c>
    </x:row>
    <x:row r="26" ht="15" hidden="0" customHeight="1">
      <x:c r="A26" s="162"/>
      <x:c r="B26" s="165"/>
      <x:c r="C26" s="169"/>
      <x:c r="D26" s="174"/>
      <x:c r="E26" s="144"/>
    </x:row>
    <x:row r="27" ht="30" hidden="0" customHeight="1">
      <x:c r="A27" s="157" t="s">
        <x:v>18</x:v>
      </x:c>
      <x:c r="B27" s="157"/>
      <x:c r="C27" s="171" t="n">
        <x:f aca="0">SUM(C28:C47)</x:f>
        <x:v>21300</x:v>
      </x:c>
      <x:c r="D27" s="173" t="n">
        <x:f aca="0">SUM(D28:D47)</x:f>
        <x:v>0</x:v>
      </x:c>
      <x:c r="E27" s="144"/>
    </x:row>
    <x:row r="28" ht="48" hidden="0" customHeight="1">
      <x:c r="A28" s="159" t="s">
        <x:v>11</x:v>
      </x:c>
      <x:c r="B28" s="160" t="str">
        <x:v>Selective-disclosure export, verifier and adversarial tests</x:v>
      </x:c>
      <x:c r="C28" s="169"/>
      <x:c r="D28" s="174"/>
      <x:c r="E28" s="144"/>
    </x:row>
    <x:row r="29" ht="78" hidden="0" customHeight="1">
      <x:c r="A29" s="162" t="s">
        <x:v>12</x:v>
      </x:c>
      <x:c r="B29" s="160" t="str">
        <x:v>Implement consent-based provenance export for supported funding histories.</x:v>
      </x:c>
      <x:c r="C29" s="170" t="n">
        <x:v>1650</x:v>
      </x:c>
      <x:c r="D29" s="174"/>
      <x:c r="E29" s="164" t="str">
        <x:v>Core team 1,650</x:v>
      </x:c>
    </x:row>
    <x:row r="30" ht="78" hidden="0" customHeight="1">
      <x:c r="A30" s="162" t="s">
        <x:v>13</x:v>
      </x:c>
      <x:c r="B30" s="160" t="str">
        <x:v>Deliver the verifier and test false, incomplete and secret-leaking provenance claims.</x:v>
      </x:c>
      <x:c r="C30" s="170" t="n">
        <x:v>650</x:v>
      </x:c>
      <x:c r="D30" s="174"/>
      <x:c r="E30" s="164" t="str">
        <x:v>Core team 650</x:v>
      </x:c>
    </x:row>
    <x:row r="31" ht="15" hidden="0" customHeight="1">
      <x:c r="A31" s="162"/>
      <x:c r="B31" s="165"/>
      <x:c r="C31" s="169"/>
      <x:c r="D31" s="174"/>
      <x:c r="E31" s="144"/>
    </x:row>
    <x:row r="32" ht="48" hidden="0" customHeight="1">
      <x:c r="A32" s="159" t="s">
        <x:v>14</x:v>
      </x:c>
      <x:c r="B32" s="160" t="str">
        <x:v>ASP handover core, timelocked governance and protected PWA state</x:v>
      </x:c>
      <x:c r="C32" s="169"/>
      <x:c r="D32" s="174"/>
      <x:c r="E32" s="144"/>
    </x:row>
    <x:row r="33" ht="78" hidden="0" customHeight="1">
      <x:c r="A33" s="162" t="s">
        <x:v>12</x:v>
      </x:c>
      <x:c r="B33" s="160" t="str">
        <x:v>Implement self-hosted ASP handover, persistent correction and timelocked privileged changes.</x:v>
      </x:c>
      <x:c r="C33" s="170" t="n">
        <x:v>2350</x:v>
      </x:c>
      <x:c r="D33" s="174"/>
      <x:c r="E33" s="164" t="str">
        <x:v>Core team 2,350</x:v>
      </x:c>
    </x:row>
    <x:row r="34" ht="78" hidden="0" customHeight="1">
      <x:c r="A34" s="162" t="s">
        <x:v>13</x:v>
      </x:c>
      <x:c r="B34" s="160" t="str">
        <x:v>Package selectable relayers, protected local secrets and interrupted-transaction recovery.</x:v>
      </x:c>
      <x:c r="C34" s="170" t="n">
        <x:v>2050</x:v>
      </x:c>
      <x:c r="D34" s="174"/>
      <x:c r="E34" s="164" t="str">
        <x:v>Core team 1,550 + Infrastructure 500</x:v>
      </x:c>
    </x:row>
    <x:row r="35" ht="15" hidden="0" customHeight="1">
      <x:c r="A35" s="162"/>
      <x:c r="B35" s="165"/>
      <x:c r="C35" s="169"/>
      <x:c r="D35" s="174"/>
      <x:c r="E35" s="144"/>
    </x:row>
    <x:row r="36" ht="48" hidden="0" customHeight="1">
      <x:c r="A36" s="159" t="s">
        <x:v>15</x:v>
      </x:c>
      <x:c r="B36" s="160" t="str">
        <x:v>Testnet participation and reviewed privacy operating-floor policy</x:v>
      </x:c>
      <x:c r="C36" s="169"/>
      <x:c r="D36" s="174"/>
      <x:c r="E36" s="144"/>
    </x:row>
    <x:row r="37" ht="78" hidden="0" customHeight="1">
      <x:c r="A37" s="162" t="s">
        <x:v>12</x:v>
      </x:c>
      <x:c r="B37" s="160" t="str">
        <x:v>Exercise testnet telemetry and prepare one reference integration in staging.</x:v>
      </x:c>
      <x:c r="C37" s="170" t="n">
        <x:v>950</x:v>
      </x:c>
      <x:c r="D37" s="174"/>
      <x:c r="E37" s="164" t="str">
        <x:v>Core team 550 + Participation 400</x:v>
      </x:c>
    </x:row>
    <x:row r="38" ht="78" hidden="0" customHeight="1">
      <x:c r="A38" s="162" t="s">
        <x:v>13</x:v>
      </x:c>
      <x:c r="B38" s="160" t="str">
        <x:v>Independently review the operating-floor policy and implement user/operator warnings.</x:v>
      </x:c>
      <x:c r="C38" s="170" t="n">
        <x:v>1550</x:v>
      </x:c>
      <x:c r="D38" s="174"/>
      <x:c r="E38" s="164" t="str">
        <x:v>Core team 550 + Security review 1,000</x:v>
      </x:c>
    </x:row>
    <x:row r="39" ht="15" hidden="0" customHeight="1">
      <x:c r="A39" s="162"/>
      <x:c r="B39" s="165"/>
      <x:c r="C39" s="169"/>
      <x:c r="D39" s="174"/>
      <x:c r="E39" s="144"/>
    </x:row>
    <x:row r="40" ht="48" hidden="0" customHeight="1">
      <x:c r="A40" s="159" t="s">
        <x:v>16</x:v>
      </x:c>
      <x:c r="B40" s="160" t="str">
        <x:v>Partner resources, commercial offers and delivery administration</x:v>
      </x:c>
      <x:c r="C40" s="169"/>
      <x:c r="D40" s="174"/>
      <x:c r="E40" s="144"/>
    </x:row>
    <x:row r="41" ht="78" hidden="0" customHeight="1">
      <x:c r="A41" s="162" t="s">
        <x:v>12</x:v>
      </x:c>
      <x:c r="B41" s="160" t="str">
        <x:v>Confirm anchor/operator responsibilities and test the first fixed-fee offer.</x:v>
      </x:c>
      <x:c r="C41" s="170" t="n">
        <x:v>2300</x:v>
      </x:c>
      <x:c r="D41" s="174"/>
      <x:c r="E41" s="164" t="str">
        <x:v>Core team 500 + Legal 1,500 + Partner preparation 300</x:v>
      </x:c>
    </x:row>
    <x:row r="42" ht="78" hidden="0" customHeight="1">
      <x:c r="A42" s="162" t="s">
        <x:v>13</x:v>
      </x:c>
      <x:c r="B42" s="160" t="str">
        <x:v>Maintain the review procurement, reporting and open-source evidence package.</x:v>
      </x:c>
      <x:c r="C42" s="170" t="n">
        <x:v>900</x:v>
      </x:c>
      <x:c r="D42" s="174"/>
      <x:c r="E42" s="164" t="str">
        <x:v>Core team 500 + DPG documentation 100 + General administration 300</x:v>
      </x:c>
    </x:row>
    <x:row r="43" ht="15" hidden="0" customHeight="1">
      <x:c r="A43" s="162"/>
      <x:c r="B43" s="165"/>
      <x:c r="C43" s="169"/>
      <x:c r="D43" s="174"/>
      <x:c r="E43" s="144"/>
    </x:row>
    <x:row r="44" ht="48" hidden="0" customHeight="1">
      <x:c r="A44" s="159" t="s">
        <x:v>17</x:v>
      </x:c>
      <x:c r="B44" s="160" t="str">
        <x:v>Validation and feedback — integrated candidate and initial review</x:v>
      </x:c>
      <x:c r="C44" s="169"/>
      <x:c r="D44" s="174"/>
      <x:c r="E44" s="144"/>
    </x:row>
    <x:row r="45" ht="78" hidden="0" customHeight="1">
      <x:c r="A45" s="162" t="s">
        <x:v>12</x:v>
      </x:c>
      <x:c r="B45" s="160" t="str">
        <x:v>Validate integrated disclosure, ASP decisions, PWA recovery and accessible task flows.</x:v>
      </x:c>
      <x:c r="C45" s="170" t="n">
        <x:v>1050</x:v>
      </x:c>
      <x:c r="D45" s="174"/>
      <x:c r="E45" s="164" t="str">
        <x:v>Core team 850 + Infrastructure 200</x:v>
      </x:c>
    </x:row>
    <x:row r="46" ht="78" hidden="0" customHeight="1">
      <x:c r="A46" s="162" t="s">
        <x:v>13</x:v>
      </x:c>
      <x:c r="B46" s="160" t="str">
        <x:v>Start independent security/privacy review of the implemented candidate.</x:v>
      </x:c>
      <x:c r="C46" s="170" t="n">
        <x:v>7850</x:v>
      </x:c>
      <x:c r="D46" s="174"/>
      <x:c r="E46" s="164" t="str">
        <x:v>Core team 850 + Security review 7,000</x:v>
      </x:c>
    </x:row>
    <x:row r="47" ht="15" hidden="0" customHeight="1">
      <x:c r="A47" s="162"/>
      <x:c r="B47" s="165"/>
      <x:c r="C47" s="169"/>
      <x:c r="D47" s="174"/>
      <x:c r="E47" s="144"/>
    </x:row>
    <x:row r="48" ht="30" hidden="0" customHeight="1">
      <x:c r="A48" s="157" t="s">
        <x:v>19</x:v>
      </x:c>
      <x:c r="B48" s="157"/>
      <x:c r="C48" s="171" t="n">
        <x:f aca="0">SUM(C49:C68)</x:f>
        <x:v>17450</x:v>
      </x:c>
      <x:c r="D48" s="173" t="n">
        <x:f aca="0">SUM(D49:D68)</x:f>
        <x:v>0</x:v>
      </x:c>
      <x:c r="E48" s="144"/>
    </x:row>
    <x:row r="49" ht="48" hidden="0" customHeight="1">
      <x:c r="A49" s="159" t="s">
        <x:v>11</x:v>
      </x:c>
      <x:c r="B49" s="160" t="str">
        <x:v>Review closure and capped real-USDC launch in month 9</x:v>
      </x:c>
      <x:c r="C49" s="169"/>
      <x:c r="D49" s="174"/>
      <x:c r="E49" s="144"/>
    </x:row>
    <x:row r="50" ht="78" hidden="0" customHeight="1">
      <x:c r="A50" s="162" t="s">
        <x:v>12</x:v>
      </x:c>
      <x:c r="B50" s="160" t="str">
        <x:v>Close release-gating findings and obtain re-review of final enabled code.</x:v>
      </x:c>
      <x:c r="C50" s="170" t="n">
        <x:v>2950</x:v>
      </x:c>
      <x:c r="D50" s="174"/>
      <x:c r="E50" s="164" t="str">
        <x:v>Core team 950 + Security review 2,000</x:v>
      </x:c>
    </x:row>
    <x:row r="51" ht="78" hidden="0" customHeight="1">
      <x:c r="A51" s="162" t="s">
        <x:v>13</x:v>
      </x:c>
      <x:c r="B51" s="160" t="str">
        <x:v>Launch one capped real-USDC reference integration after the readiness gates pass.</x:v>
      </x:c>
      <x:c r="C51" s="170" t="n">
        <x:v>1250</x:v>
      </x:c>
      <x:c r="D51" s="174"/>
      <x:c r="E51" s="164" t="str">
        <x:v>Core team 950 + Infrastructure 300</x:v>
      </x:c>
    </x:row>
    <x:row r="52" ht="15" hidden="0" customHeight="1">
      <x:c r="A52" s="162"/>
      <x:c r="B52" s="165"/>
      <x:c r="C52" s="169"/>
      <x:c r="D52" s="174"/>
      <x:c r="E52" s="144"/>
    </x:row>
    <x:row r="53" ht="48" hidden="0" customHeight="1">
      <x:c r="A53" s="159" t="s">
        <x:v>14</x:v>
      </x:c>
      <x:c r="B53" s="160" t="str">
        <x:v>Mobile readiness, operator handover and alternate-relayer failover</x:v>
      </x:c>
      <x:c r="C53" s="169"/>
      <x:c r="D53" s="174"/>
      <x:c r="E53" s="144"/>
    </x:row>
    <x:row r="54" ht="78" hidden="0" customHeight="1">
      <x:c r="A54" s="162" t="s">
        <x:v>12</x:v>
      </x:c>
      <x:c r="B54" s="160" t="str">
        <x:v>Pass low-end Android, wallet handoff and shared/lost-phone recovery gates.</x:v>
      </x:c>
      <x:c r="C54" s="170" t="n">
        <x:v>1450</x:v>
      </x:c>
      <x:c r="D54" s="174"/>
      <x:c r="E54" s="164" t="str">
        <x:v>Core team 1,250 + Infrastructure 200</x:v>
      </x:c>
    </x:row>
    <x:row r="55" ht="78" hidden="0" customHeight="1">
      <x:c r="A55" s="162" t="s">
        <x:v>13</x:v>
      </x:c>
      <x:c r="B55" s="160" t="str">
        <x:v>Demonstrate ASP replacement and relayer failover; pursue an independent operator.</x:v>
      </x:c>
      <x:c r="C55" s="170" t="n">
        <x:v>1400</x:v>
      </x:c>
      <x:c r="D55" s="174"/>
      <x:c r="E55" s="164" t="str">
        <x:v>Core team 1,250 + Infrastructure 150</x:v>
      </x:c>
    </x:row>
    <x:row r="56" s="30" customFormat="1" ht="15" hidden="0" customHeight="1">
      <x:c r="A56" s="162"/>
      <x:c r="B56" s="165"/>
      <x:c r="C56" s="169"/>
      <x:c r="D56" s="174"/>
      <x:c r="E56" s="144"/>
    </x:row>
    <x:row r="57" ht="48" hidden="0" customHeight="1">
      <x:c r="A57" s="159" t="s">
        <x:v>15</x:v>
      </x:c>
      <x:c r="B57" s="160" t="str">
        <x:v>External pool use, privacy evaluation and verified disclosure packages</x:v>
      </x:c>
      <x:c r="C57" s="169"/>
      <x:c r="D57" s="174"/>
      <x:c r="E57" s="144"/>
    </x:row>
    <x:row r="58" ht="78" hidden="0" customHeight="1">
      <x:c r="A58" s="162" t="s">
        <x:v>12</x:v>
      </x:c>
      <x:c r="B58" s="160" t="str">
        <x:v>Recruit and measure the first genuine external receive–deposit–withdraw cohort.</x:v>
      </x:c>
      <x:c r="C58" s="170" t="n">
        <x:v>2700</x:v>
      </x:c>
      <x:c r="D58" s="174"/>
      <x:c r="E58" s="164" t="str">
        <x:v>Core team 1,500 + Participation 1,200</x:v>
      </x:c>
    </x:row>
    <x:row r="59" ht="78" hidden="0" customHeight="1">
      <x:c r="A59" s="162" t="s">
        <x:v>13</x:v>
      </x:c>
      <x:c r="B59" s="160" t="str">
        <x:v>Verify disclosure externally and report privacy conditions and available daily balances.</x:v>
      </x:c>
      <x:c r="C59" s="170" t="n">
        <x:v>800</x:v>
      </x:c>
      <x:c r="D59" s="174"/>
      <x:c r="E59" s="164" t="str">
        <x:v>Core team 800</x:v>
      </x:c>
    </x:row>
    <x:row r="60" ht="15" hidden="0" customHeight="1">
      <x:c r="A60" s="162"/>
      <x:c r="B60" s="165"/>
      <x:c r="C60" s="169"/>
      <x:c r="D60" s="174"/>
      <x:c r="E60" s="144"/>
    </x:row>
    <x:row r="61" ht="48" hidden="0" customHeight="1">
      <x:c r="A61" s="159" t="s">
        <x:v>16</x:v>
      </x:c>
      <x:c r="B61" s="160" t="str">
        <x:v>Partner/business evidence, DPG preparation and portability start</x:v>
      </x:c>
      <x:c r="C61" s="169"/>
      <x:c r="D61" s="174"/>
      <x:c r="E61" s="144"/>
    </x:row>
    <x:row r="62" ht="78" hidden="0" customHeight="1">
      <x:c r="A62" s="162" t="s">
        <x:v>12</x:v>
      </x:c>
      <x:c r="B62" s="160" t="str">
        <x:v>Update the partner resource/readiness plan and test a second commercial offer.</x:v>
      </x:c>
      <x:c r="C62" s="170" t="n">
        <x:v>1800</x:v>
      </x:c>
      <x:c r="D62" s="174"/>
      <x:c r="E62" s="164" t="str">
        <x:v>Core team 500 + Legal 1,000 + Partner preparation 300</x:v>
      </x:c>
    </x:row>
    <x:row r="63" ht="78" hidden="0" customHeight="1">
      <x:c r="A63" s="162" t="s">
        <x:v>13</x:v>
      </x:c>
      <x:c r="B63" s="160" t="str">
        <x:v>Start the second-EVM portability test and assemble DPG evidence.</x:v>
      </x:c>
      <x:c r="C63" s="170" t="n">
        <x:v>1000</x:v>
      </x:c>
      <x:c r="D63" s="174"/>
      <x:c r="E63" s="164" t="str">
        <x:v>Core team 500 + DPG documentation 200 + General administration 300</x:v>
      </x:c>
    </x:row>
    <x:row r="64" ht="15" hidden="0" customHeight="1">
      <x:c r="A64" s="162"/>
      <x:c r="B64" s="165"/>
      <x:c r="C64" s="169"/>
      <x:c r="D64" s="174"/>
      <x:c r="E64" s="144"/>
    </x:row>
    <x:row r="65" ht="48" hidden="0" customHeight="1">
      <x:c r="A65" s="159" t="s">
        <x:v>17</x:v>
      </x:c>
      <x:c r="B65" s="160" t="str">
        <x:v>Validation and feedback — operational readiness and initial use</x:v>
      </x:c>
      <x:c r="C65" s="169"/>
      <x:c r="D65" s="174"/>
      <x:c r="E65" s="144"/>
    </x:row>
    <x:row r="66" ht="78" hidden="0" customHeight="1">
      <x:c r="A66" s="162" t="s">
        <x:v>12</x:v>
      </x:c>
      <x:c r="B66" s="160" t="str">
        <x:v>Run the anchor-staff rehearsal and evaluate external reference tasks.</x:v>
      </x:c>
      <x:c r="C66" s="170" t="n">
        <x:v>1450</x:v>
      </x:c>
      <x:c r="D66" s="174"/>
      <x:c r="E66" s="164" t="str">
        <x:v>Core team 1,150 + Partner preparation 300</x:v>
      </x:c>
    </x:row>
    <x:row r="67" ht="78" hidden="0" customHeight="1">
      <x:c r="A67" s="162" t="s">
        <x:v>13</x:v>
      </x:c>
      <x:c r="B67" s="160" t="str">
        <x:v>Validate incident/recovery procedures and obtain final pre-use coverage where needed.</x:v>
      </x:c>
      <x:c r="C67" s="170" t="n">
        <x:v>2650</x:v>
      </x:c>
      <x:c r="D67" s="174"/>
      <x:c r="E67" s="164" t="str">
        <x:v>Core team 1,150 + Security review 1,500</x:v>
      </x:c>
    </x:row>
    <x:row r="68" ht="15" hidden="0" customHeight="1">
      <x:c r="A68" s="162"/>
      <x:c r="B68" s="165"/>
      <x:c r="C68" s="169"/>
      <x:c r="D68" s="174"/>
      <x:c r="E68" s="144"/>
    </x:row>
    <x:row r="69" ht="30" hidden="0" customHeight="1">
      <x:c r="A69" s="157" t="s">
        <x:v>20</x:v>
      </x:c>
      <x:c r="B69" s="157"/>
      <x:c r="C69" s="171" t="n">
        <x:f aca="0">SUM(C70:C89)</x:f>
        <x:v>15350</x:v>
      </x:c>
      <x:c r="D69" s="173" t="n">
        <x:f aca="0">SUM(D70:D89)</x:f>
        <x:v>0</x:v>
      </x:c>
      <x:c r="E69" s="144"/>
    </x:row>
    <x:row r="70" ht="48" hidden="0" customHeight="1">
      <x:c r="A70" s="159" t="s">
        <x:v>11</x:v>
      </x:c>
      <x:c r="B70" s="160" t="str">
        <x:v>Hardened protocol release, disclosure and Android regressions</x:v>
      </x:c>
      <x:c r="C70" s="169"/>
      <x:c r="D70" s="174"/>
      <x:c r="E70" s="144"/>
    </x:row>
    <x:row r="71" ht="78" hidden="0" customHeight="1">
      <x:c r="A71" s="162" t="s">
        <x:v>12</x:v>
      </x:c>
      <x:c r="B71" s="160" t="str">
        <x:v>Harden the release and rerun disclosure, Android and protected-state regressions.</x:v>
      </x:c>
      <x:c r="C71" s="170" t="n">
        <x:v>1100</x:v>
      </x:c>
      <x:c r="D71" s="174"/>
      <x:c r="E71" s="164" t="str">
        <x:v>Core team 850 + Infrastructure 250</x:v>
      </x:c>
    </x:row>
    <x:row r="72" ht="78" hidden="0" customHeight="1">
      <x:c r="A72" s="162" t="s">
        <x:v>13</x:v>
      </x:c>
      <x:c r="B72" s="160" t="str">
        <x:v>Complete independent re-review of release changes and publish residual limitations.</x:v>
      </x:c>
      <x:c r="C72" s="170" t="n">
        <x:v>2850</x:v>
      </x:c>
      <x:c r="D72" s="174"/>
      <x:c r="E72" s="164" t="str">
        <x:v>Core team 850 + Security review 2,000</x:v>
      </x:c>
    </x:row>
    <x:row r="73" ht="15" hidden="0" customHeight="1">
      <x:c r="A73" s="162"/>
      <x:c r="B73" s="165"/>
      <x:c r="C73" s="169"/>
      <x:c r="D73" s="174"/>
      <x:c r="E73" s="144"/>
    </x:row>
    <x:row r="74" ht="48" hidden="0" customHeight="1">
      <x:c r="A74" s="159" t="s">
        <x:v>14</x:v>
      </x:c>
      <x:c r="B74" s="160" t="str">
        <x:v>Independent clean deployment and second-EVM portability completion</x:v>
      </x:c>
      <x:c r="C74" s="169"/>
      <x:c r="D74" s="174"/>
      <x:c r="E74" s="144"/>
    </x:row>
    <x:row r="75" ht="78" hidden="0" customHeight="1">
      <x:c r="A75" s="162" t="s">
        <x:v>12</x:v>
      </x:c>
      <x:c r="B75" s="160" t="str">
        <x:v>Have an external evaluator deploy and operate from a clean clone and runbook.</x:v>
      </x:c>
      <x:c r="C75" s="170" t="n">
        <x:v>1550</x:v>
      </x:c>
      <x:c r="D75" s="174"/>
      <x:c r="E75" s="164" t="str">
        <x:v>Core team 1,050 + Infrastructure 200 + DPG documentation 300</x:v>
      </x:c>
    </x:row>
    <x:row r="76" ht="78" hidden="0" customHeight="1">
      <x:c r="A76" s="162" t="s">
        <x:v>13</x:v>
      </x:c>
      <x:c r="B76" s="160" t="str">
        <x:v>Complete and document the second-EVM full-stack portability test.</x:v>
      </x:c>
      <x:c r="C76" s="170" t="n">
        <x:v>1250</x:v>
      </x:c>
      <x:c r="D76" s="174"/>
      <x:c r="E76" s="164" t="str">
        <x:v>Core team 1,050 + Infrastructure 200</x:v>
      </x:c>
    </x:row>
    <x:row r="77" ht="15" hidden="0" customHeight="1">
      <x:c r="A77" s="162"/>
      <x:c r="B77" s="165"/>
      <x:c r="C77" s="169"/>
      <x:c r="D77" s="174"/>
      <x:c r="E77" s="144"/>
    </x:row>
    <x:row r="78" ht="48" hidden="0" customHeight="1">
      <x:c r="A78" s="159" t="s">
        <x:v>15</x:v>
      </x:c>
      <x:c r="B78" s="160" t="str">
        <x:v>Sustained external activity and separately measured liquidity health</x:v>
      </x:c>
      <x:c r="C78" s="169"/>
      <x:c r="D78" s="174"/>
      <x:c r="E78" s="144"/>
    </x:row>
    <x:row r="79" ht="78" hidden="0" customHeight="1">
      <x:c r="A79" s="162" t="s">
        <x:v>12</x:v>
      </x:c>
      <x:c r="B79" s="160" t="str">
        <x:v>Sustain the reference integration and measure cumulative use, inflows and retention.</x:v>
      </x:c>
      <x:c r="C79" s="170" t="n">
        <x:v>2100</x:v>
      </x:c>
      <x:c r="D79" s="174"/>
      <x:c r="E79" s="164" t="str">
        <x:v>Core team 1,200 + Participation 900</x:v>
      </x:c>
    </x:row>
    <x:row r="80" ht="78" hidden="0" customHeight="1">
      <x:c r="A80" s="162" t="s">
        <x:v>13</x:v>
      </x:c>
      <x:c r="B80" s="160" t="str">
        <x:v>Measure the separately funded external-balance median over the final 30 days.</x:v>
      </x:c>
      <x:c r="C80" s="170" t="n">
        <x:v>900</x:v>
      </x:c>
      <x:c r="D80" s="174"/>
      <x:c r="E80" s="164" t="str">
        <x:v>Core team 600 + Participation 300</x:v>
      </x:c>
    </x:row>
    <x:row r="81" ht="15" hidden="0" customHeight="1">
      <x:c r="A81" s="162"/>
      <x:c r="B81" s="165"/>
      <x:c r="C81" s="169"/>
      <x:c r="D81" s="174"/>
      <x:c r="E81" s="144"/>
    </x:row>
    <x:row r="82" ht="48" hidden="0" customHeight="1">
      <x:c r="A82" s="159" t="s">
        <x:v>16</x:v>
      </x:c>
      <x:c r="B82" s="160" t="str">
        <x:v>Sustainability, DPG evidence and final reporting</x:v>
      </x:c>
      <x:c r="C82" s="169"/>
      <x:c r="D82" s="174"/>
      <x:c r="E82" s="144"/>
    </x:row>
    <x:row r="83" ht="78" hidden="0" customHeight="1">
      <x:c r="A83" s="162" t="s">
        <x:v>12</x:v>
      </x:c>
      <x:c r="B83" s="160" t="str">
        <x:v>Evaluate commercial offers and produce the post-grant maintenance/resource plan.</x:v>
      </x:c>
      <x:c r="C83" s="170" t="n">
        <x:v>1200</x:v>
      </x:c>
      <x:c r="D83" s="174"/>
      <x:c r="E83" s="164" t="str">
        <x:v>Core team 1,000 + Partner preparation 200</x:v>
      </x:c>
    </x:row>
    <x:row r="84" ht="78" hidden="0" customHeight="1">
      <x:c r="A84" s="162" t="s">
        <x:v>13</x:v>
      </x:c>
      <x:c r="B84" s="160" t="str">
        <x:v>Complete DPG evidence and reconcile the final technical/financial report.</x:v>
      </x:c>
      <x:c r="C84" s="170" t="n">
        <x:v>1700</x:v>
      </x:c>
      <x:c r="D84" s="174"/>
      <x:c r="E84" s="164" t="str">
        <x:v>Core team 1,000 + DPG documentation 400 + General administration 300</x:v>
      </x:c>
    </x:row>
    <x:row r="85" ht="15" hidden="0" customHeight="1">
      <x:c r="A85" s="162"/>
      <x:c r="B85" s="165"/>
      <x:c r="C85" s="169"/>
      <x:c r="D85" s="174"/>
      <x:c r="E85" s="144"/>
    </x:row>
    <x:row r="86" ht="48" hidden="0" customHeight="1">
      <x:c r="A86" s="159" t="s">
        <x:v>17</x:v>
      </x:c>
      <x:c r="B86" s="160" t="str">
        <x:v>Validation and feedback — independent acceptance and conditional pilot evaluation</x:v>
      </x:c>
      <x:c r="C86" s="169"/>
      <x:c r="D86" s="174"/>
      <x:c r="E86" s="144"/>
    </x:row>
    <x:row r="87" ht="78" hidden="0" customHeight="1">
      <x:c r="A87" s="162" t="s">
        <x:v>12</x:v>
      </x:c>
      <x:c r="B87" s="160" t="str">
        <x:v>Run independent release acceptance and mobile/accessibility task validation.</x:v>
      </x:c>
      <x:c r="C87" s="170" t="n">
        <x:v>1200</x:v>
      </x:c>
      <x:c r="D87" s="174"/>
      <x:c r="E87" s="164" t="str">
        <x:v>Core team 1,200</x:v>
      </x:c>
    </x:row>
    <x:row r="88" ht="78" hidden="0" customHeight="1">
      <x:c r="A88" s="162" t="s">
        <x:v>13</x:v>
      </x:c>
      <x:c r="B88" s="160" t="str">
        <x:v>Evaluate pilot readiness and, only if all gates pass, support one partner-operated cohort.</x:v>
      </x:c>
      <x:c r="C88" s="170" t="n">
        <x:v>1500</x:v>
      </x:c>
      <x:c r="D88" s="174"/>
      <x:c r="E88" s="164" t="str">
        <x:v>Core team 1,200 + Partner preparation 300</x:v>
      </x:c>
    </x:row>
    <x:row r="89" ht="15" hidden="0" customHeight="1">
      <x:c r="A89" s="162"/>
      <x:c r="B89" s="165"/>
      <x:c r="C89" s="169"/>
      <x:c r="D89" s="174"/>
      <x:c r="E89" s="144"/>
    </x:row>
    <x:row r="90" ht="18" hidden="0" customHeight="1">
      <x:c r="A90" s="166" t="s">
        <x:v>21</x:v>
      </x:c>
      <x:c r="B90" s="146"/>
      <x:c r="C90" s="172" t="n">
        <x:f aca="0">SUM(C6,C27,C48,C69)</x:f>
        <x:v>70000</x:v>
      </x:c>
      <x:c r="D90" s="175" t="n">
        <x:f aca="0">SUM(D6,D27,D48,D69)</x:f>
        <x:v>0</x:v>
      </x:c>
      <x:c r="E90" s="144"/>
    </x:row>
    <x:row r="91" ht="15" hidden="0">
      <x:c r="A91" s="146"/>
      <x:c r="B91" s="146"/>
      <x:c r="C91" s="146"/>
      <x:c r="D91" s="144"/>
      <x:c r="E91" s="144"/>
    </x:row>
    <x:row r="92" ht="15" hidden="0" customHeight="1">
      <x:c r="A92" s="146"/>
      <x:c r="B92" s="168" t="s">
        <x:v>22</x:v>
      </x:c>
      <x:c r="C92" s="146"/>
      <x:c r="D92" s="144"/>
      <x:c r="E92" s="144"/>
    </x:row>
    <x:row r="93" ht="58" hidden="0" customHeight="1">
      <x:c r="A93" s="146"/>
      <x:c r="B93" s="140" t="str">
        <x:v>1. Milestone and activity titles match Template 3 exactly. Three full-time roles for twelve months: Carlos Quintero (protocol), Mateo Daza (development lead), Fabio Anaya (operations/partnerships). Activity shares sum to 100% of each person’s quarter; milestone headings do not add costs.</x:v>
      </x:c>
      <x:c r="C93" s="146"/>
      <x:c r="D93" s="144"/>
      <x:c r="E93" s="144"/>
    </x:row>
    <x:row r="94" ht="58" hidden="0" customHeight="1">
      <x:c r="A94" s="146"/>
      <x:c r="B94" s="140" t="str">
        <x:v>2. This USD 70,000 proposal excludes pool principal, beneficiary/programme transfers, partner cash-out fees and ongoing partner compliance operations. Participation covers technical onboarding/gas support, not liquidity capital. The distinct USD 5,000 median-balance target needs external resources.</x:v>
      </x:c>
      <x:c r="C94" s="146"/>
      <x:c r="D94" s="144"/>
      <x:c r="E94" s="144"/>
    </x:row>
    <x:row r="95" ht="58" hidden="0" customHeight="1">
      <x:c r="A95" s="146"/>
      <x:c r="B95" s="140" t="str">
        <x:v>3. Column E splits reconcile to eight categories. Proposed all-in annual role costs: Carlos USD 16,000, Mateo USD 16,000, Fabio USD 8,000; USD 10,000 personnel per quarter. Net pay/engagement terms and statutory treatment remain to be finalized. General administration USD 1,200 is inside the cap, subject to UNICEF eligibility confirmation.</x:v>
      </x:c>
      <x:c r="C95" s="146"/>
      <x:c r="D95" s="144"/>
      <x:c r="E95" s="144"/>
    </x:row>
    <x:row r="96" ht="58" hidden="0" customHeight="1">
      <x:c r="A96" s="146"/>
      <x:c r="B96" s="140" t="str">
        <x:v>4. Budget in USD; funding requested in USDC. UNICEF handles conversion. Receiving network, native USDC contract and entity wallet agreed before transfer. Quarter costs are not tranche dates: start/first-tranche timing is requested, and no unconfirmed pre-financing is assumed. Missed milestones are not automatically waived.</x:v>
      </x:c>
      <x:c r="C96" s="146"/>
      <x:c r="D96" s="144"/>
      <x:c r="E96" s="144"/>
    </x:row>
    <x:row r="97" ht="15" hidden="0">
      <x:c r="A97" s="35"/>
      <x:c r="B97" s="35"/>
      <x:c r="C97" s="35"/>
    </x:row>
    <x:row r="98" ht="15" hidden="0">
      <x:c r="A98" s="35"/>
      <x:c r="B98" s="35"/>
      <x:c r="C98" s="35"/>
    </x:row>
    <x:row r="99" ht="15" hidden="0">
      <x:c r="A99" s="35"/>
      <x:c r="B99" s="35"/>
      <x:c r="C99" s="35"/>
    </x:row>
    <x:row r="100" ht="15" hidden="0">
      <x:c r="A100" s="35"/>
      <x:c r="B100" s="35"/>
      <x:c r="C100" s="35"/>
    </x:row>
    <x:row r="101" ht="15" hidden="0">
      <x:c r="A101" s="35"/>
      <x:c r="B101" s="35"/>
      <x:c r="C101" s="35"/>
    </x:row>
    <x:row r="102" ht="15" hidden="0">
      <x:c r="A102" s="35"/>
      <x:c r="B102" s="35"/>
      <x:c r="C102" s="35"/>
    </x:row>
    <x:row r="103" ht="15" hidden="0">
      <x:c r="A103" s="35"/>
      <x:c r="B103" s="35"/>
      <x:c r="C103" s="35"/>
    </x:row>
    <x:row r="104" ht="15" hidden="0">
      <x:c r="A104" s="35"/>
      <x:c r="B104" s="35"/>
      <x:c r="C104" s="35"/>
    </x:row>
    <x:row r="105" ht="15" hidden="0">
      <x:c r="A105" s="35"/>
      <x:c r="B105" s="35"/>
      <x:c r="C105" s="35"/>
    </x:row>
    <x:row r="106" ht="15" hidden="0">
      <x:c r="A106" s="35"/>
      <x:c r="B106" s="35"/>
      <x:c r="C106" s="35"/>
    </x:row>
    <x:row r="107" ht="15" hidden="0">
      <x:c r="A107" s="35"/>
      <x:c r="B107" s="35"/>
      <x:c r="C107" s="35"/>
    </x:row>
    <x:row r="108" ht="15" hidden="0">
      <x:c r="A108" s="35"/>
      <x:c r="B108" s="35"/>
      <x:c r="C108" s="35"/>
    </x:row>
    <x:row r="109" ht="15" hidden="0">
      <x:c r="A109" s="35"/>
      <x:c r="B109" s="35"/>
      <x:c r="C109" s="35"/>
    </x:row>
    <x:row r="110" ht="15" hidden="0">
      <x:c r="A110" s="35"/>
      <x:c r="B110" s="35"/>
      <x:c r="C110" s="35"/>
    </x:row>
    <x:row r="111" ht="15" hidden="0">
      <x:c r="A111" s="35"/>
      <x:c r="B111" s="35"/>
      <x:c r="C111" s="35"/>
    </x:row>
    <x:row r="112" ht="15" hidden="0">
      <x:c r="A112" s="35"/>
      <x:c r="B112" s="35"/>
      <x:c r="C112" s="35"/>
    </x:row>
    <x:row r="113" ht="15" hidden="0">
      <x:c r="A113" s="35"/>
      <x:c r="B113" s="35"/>
      <x:c r="C113" s="35"/>
    </x:row>
    <x:row r="114" ht="15" hidden="0">
      <x:c r="A114" s="35"/>
      <x:c r="B114" s="35"/>
      <x:c r="C114" s="35"/>
    </x:row>
    <x:row r="115" ht="15" hidden="0">
      <x:c r="A115" s="35"/>
      <x:c r="B115" s="35"/>
      <x:c r="C115" s="35"/>
    </x:row>
    <x:row r="116" ht="15" hidden="0">
      <x:c r="A116" s="35"/>
      <x:c r="B116" s="35"/>
      <x:c r="C116" s="35"/>
    </x:row>
    <x:row r="117" ht="15" hidden="0">
      <x:c r="A117" s="35"/>
      <x:c r="B117" s="35"/>
      <x:c r="C117" s="35"/>
    </x:row>
    <x:row r="118" ht="15" hidden="0">
      <x:c r="A118" s="35"/>
      <x:c r="B118" s="35"/>
      <x:c r="C118" s="35"/>
    </x:row>
    <x:row r="119" ht="15" hidden="0">
      <x:c r="A119" s="35"/>
      <x:c r="B119" s="35"/>
      <x:c r="C119" s="35"/>
    </x:row>
    <x:row r="120" ht="15" hidden="0">
      <x:c r="A120" s="35"/>
      <x:c r="B120" s="35"/>
      <x:c r="C120" s="35"/>
    </x:row>
    <x:row r="121" ht="15" hidden="0">
      <x:c r="A121" s="35"/>
      <x:c r="B121" s="35"/>
      <x:c r="C121" s="35"/>
    </x:row>
    <x:row r="122" ht="15" hidden="0">
      <x:c r="A122" s="35"/>
      <x:c r="B122" s="35"/>
      <x:c r="C122" s="35"/>
    </x:row>
    <x:row r="123" ht="15" hidden="0">
      <x:c r="A123" s="35"/>
      <x:c r="B123" s="35"/>
      <x:c r="C123" s="35"/>
    </x:row>
    <x:row r="124" ht="15" hidden="0">
      <x:c r="A124" s="35"/>
      <x:c r="B124" s="35"/>
      <x:c r="C124" s="35"/>
    </x:row>
    <x:row r="125" ht="15" hidden="0">
      <x:c r="A125" s="35"/>
      <x:c r="B125" s="35"/>
      <x:c r="C125" s="35"/>
    </x:row>
    <x:row r="126" ht="15" hidden="0">
      <x:c r="A126" s="35"/>
      <x:c r="B126" s="35"/>
      <x:c r="C126" s="35"/>
    </x:row>
    <x:row r="127" ht="15" hidden="0">
      <x:c r="A127" s="35"/>
      <x:c r="B127" s="35"/>
      <x:c r="C127" s="35"/>
    </x:row>
    <x:row r="128" ht="15" hidden="0">
      <x:c r="A128" s="35"/>
      <x:c r="B128" s="35"/>
      <x:c r="C128" s="35"/>
    </x:row>
    <x:row r="129" ht="15" hidden="0">
      <x:c r="A129" s="35"/>
      <x:c r="B129" s="35"/>
      <x:c r="C129" s="35"/>
    </x:row>
    <x:row r="130" ht="15" hidden="0">
      <x:c r="A130" s="35"/>
      <x:c r="B130" s="35"/>
      <x:c r="C130" s="35"/>
    </x:row>
    <x:row r="131" ht="15" hidden="0">
      <x:c r="A131" s="35"/>
      <x:c r="B131" s="35"/>
      <x:c r="C131" s="35"/>
    </x:row>
    <x:row r="132" ht="15" hidden="0">
      <x:c r="A132" s="35"/>
      <x:c r="B132" s="35"/>
      <x:c r="C132" s="35"/>
    </x:row>
    <x:row r="133" ht="15" hidden="0">
      <x:c r="A133" s="35"/>
      <x:c r="B133" s="35"/>
      <x:c r="C133" s="35"/>
    </x:row>
    <x:row r="134" ht="15" hidden="0">
      <x:c r="A134" s="35"/>
      <x:c r="B134" s="35"/>
      <x:c r="C134" s="35"/>
    </x:row>
    <x:row r="135" ht="15" hidden="0">
      <x:c r="A135" s="35"/>
      <x:c r="B135" s="35"/>
      <x:c r="C135" s="35"/>
    </x:row>
    <x:row r="136" ht="15" hidden="0">
      <x:c r="A136" s="35"/>
      <x:c r="B136" s="35"/>
      <x:c r="C136" s="35"/>
    </x:row>
    <x:row r="137" ht="15" hidden="0">
      <x:c r="A137" s="35"/>
      <x:c r="B137" s="35"/>
      <x:c r="C137" s="35"/>
    </x:row>
    <x:row r="138" ht="15" hidden="0">
      <x:c r="A138" s="35"/>
      <x:c r="B138" s="35"/>
      <x:c r="C138" s="35"/>
    </x:row>
    <x:row r="139" ht="15" hidden="0">
      <x:c r="A139" s="35"/>
      <x:c r="B139" s="35"/>
      <x:c r="C139" s="35"/>
    </x:row>
    <x:row r="140" ht="15" hidden="0">
      <x:c r="A140" s="35"/>
      <x:c r="B140" s="35"/>
      <x:c r="C140" s="35"/>
    </x:row>
    <x:row r="141" ht="15" hidden="0">
      <x:c r="A141" s="35"/>
      <x:c r="B141" s="35"/>
      <x:c r="C141" s="35"/>
    </x:row>
    <x:row r="142" ht="15" hidden="0">
      <x:c r="A142" s="35"/>
      <x:c r="B142" s="35"/>
      <x:c r="C142" s="35"/>
    </x:row>
    <x:row r="143" ht="15" hidden="0">
      <x:c r="A143" s="35"/>
      <x:c r="B143" s="35"/>
      <x:c r="C143" s="35"/>
    </x:row>
    <x:row r="144" ht="15" hidden="0">
      <x:c r="A144" s="35"/>
      <x:c r="B144" s="35"/>
      <x:c r="C144" s="35"/>
    </x:row>
    <x:row r="145" ht="15" hidden="0">
      <x:c r="A145" s="35"/>
      <x:c r="B145" s="35"/>
      <x:c r="C145" s="35"/>
    </x:row>
    <x:row r="146" ht="15" hidden="0">
      <x:c r="A146" s="35"/>
      <x:c r="B146" s="35"/>
      <x:c r="C146" s="35"/>
    </x:row>
    <x:row r="147" ht="15" hidden="0">
      <x:c r="A147" s="35"/>
      <x:c r="B147" s="35"/>
      <x:c r="C147" s="35"/>
    </x:row>
    <x:row r="148" ht="15" hidden="0">
      <x:c r="A148" s="35"/>
      <x:c r="B148" s="35"/>
      <x:c r="C148" s="35"/>
    </x:row>
    <x:row r="149" ht="15" hidden="0">
      <x:c r="A149" s="35"/>
      <x:c r="B149" s="35"/>
      <x:c r="C149" s="35"/>
    </x:row>
    <x:row r="150" ht="15" hidden="0">
      <x:c r="A150" s="35"/>
      <x:c r="B150" s="35"/>
      <x:c r="C150" s="35"/>
    </x:row>
    <x:row r="151" ht="15" hidden="0">
      <x:c r="A151" s="35"/>
      <x:c r="B151" s="35"/>
      <x:c r="C151" s="35"/>
    </x:row>
    <x:row r="152" ht="15" hidden="0">
      <x:c r="A152" s="35"/>
      <x:c r="B152" s="35"/>
      <x:c r="C152" s="35"/>
    </x:row>
    <x:row r="153" ht="15" hidden="0">
      <x:c r="A153" s="35"/>
      <x:c r="B153" s="35"/>
      <x:c r="C153" s="35"/>
    </x:row>
    <x:row r="154" ht="15" hidden="0">
      <x:c r="A154" s="35"/>
      <x:c r="B154" s="35"/>
      <x:c r="C154" s="35"/>
    </x:row>
    <x:row r="155" ht="15" hidden="0">
      <x:c r="A155" s="35"/>
      <x:c r="B155" s="35"/>
      <x:c r="C155" s="35"/>
    </x:row>
    <x:row r="156" ht="15" hidden="0">
      <x:c r="A156" s="35"/>
      <x:c r="B156" s="35"/>
      <x:c r="C156" s="35"/>
    </x:row>
    <x:row r="157" ht="15" hidden="0">
      <x:c r="A157" s="35"/>
      <x:c r="B157" s="35"/>
      <x:c r="C157" s="35"/>
    </x:row>
    <x:row r="158" ht="15" hidden="0">
      <x:c r="A158" s="35"/>
      <x:c r="B158" s="35"/>
      <x:c r="C158" s="35"/>
    </x:row>
    <x:row r="159" ht="15" hidden="0">
      <x:c r="A159" s="35"/>
      <x:c r="B159" s="35"/>
      <x:c r="C159" s="35"/>
    </x:row>
    <x:row r="160" ht="15" hidden="0">
      <x:c r="A160" s="35"/>
      <x:c r="B160" s="35"/>
      <x:c r="C160" s="35"/>
    </x:row>
    <x:row r="161" ht="15" hidden="0">
      <x:c r="A161" s="35"/>
      <x:c r="B161" s="35"/>
      <x:c r="C161" s="35"/>
    </x:row>
    <x:row r="162" ht="15" hidden="0">
      <x:c r="A162" s="35"/>
      <x:c r="B162" s="35"/>
      <x:c r="C162" s="35"/>
    </x:row>
    <x:row r="163" ht="15" hidden="0">
      <x:c r="A163" s="35"/>
      <x:c r="B163" s="35"/>
      <x:c r="C163" s="35"/>
    </x:row>
    <x:row r="164" ht="15" hidden="0">
      <x:c r="A164" s="35"/>
      <x:c r="B164" s="35"/>
      <x:c r="C164" s="35"/>
    </x:row>
    <x:row r="165" ht="15" hidden="0">
      <x:c r="A165" s="35"/>
      <x:c r="B165" s="35"/>
      <x:c r="C165" s="35"/>
    </x:row>
    <x:row r="166" ht="15" hidden="0">
      <x:c r="A166" s="35"/>
      <x:c r="B166" s="35"/>
      <x:c r="C166" s="35"/>
    </x:row>
    <x:row r="167" ht="15" hidden="0">
      <x:c r="A167" s="35"/>
      <x:c r="B167" s="35"/>
      <x:c r="C167" s="35"/>
    </x:row>
    <x:row r="168" ht="15" hidden="0">
      <x:c r="A168" s="35"/>
      <x:c r="B168" s="35"/>
      <x:c r="C168" s="35"/>
    </x:row>
    <x:row r="169" ht="15" hidden="0">
      <x:c r="A169" s="35"/>
      <x:c r="B169" s="35"/>
      <x:c r="C169" s="35"/>
    </x:row>
    <x:row r="170" ht="15" hidden="0">
      <x:c r="A170" s="35"/>
      <x:c r="B170" s="35"/>
      <x:c r="C170" s="35"/>
    </x:row>
    <x:row r="171" ht="15" hidden="0">
      <x:c r="A171" s="35"/>
      <x:c r="B171" s="35"/>
      <x:c r="C171" s="35"/>
    </x:row>
    <x:row r="172" ht="15" hidden="0">
      <x:c r="A172" s="35"/>
      <x:c r="B172" s="35"/>
      <x:c r="C172" s="35"/>
    </x:row>
    <x:row r="173" ht="15" hidden="0">
      <x:c r="A173" s="35"/>
      <x:c r="B173" s="35"/>
      <x:c r="C173" s="35"/>
    </x:row>
    <x:row r="174" ht="15" hidden="0">
      <x:c r="A174" s="35"/>
      <x:c r="B174" s="35"/>
      <x:c r="C174" s="35"/>
    </x:row>
    <x:row r="175" ht="15" hidden="0">
      <x:c r="A175" s="35"/>
      <x:c r="B175" s="35"/>
      <x:c r="C175" s="35"/>
    </x:row>
    <x:row r="176" ht="15" hidden="0">
      <x:c r="A176" s="35"/>
      <x:c r="B176" s="35"/>
      <x:c r="C176" s="35"/>
    </x:row>
    <x:row r="177" ht="15" hidden="0">
      <x:c r="A177" s="35"/>
      <x:c r="B177" s="35"/>
      <x:c r="C177" s="35"/>
    </x:row>
    <x:row r="178" ht="15" hidden="0">
      <x:c r="A178" s="35"/>
      <x:c r="B178" s="35"/>
      <x:c r="C178" s="35"/>
    </x:row>
    <x:row r="179" ht="15" hidden="0">
      <x:c r="A179" s="35"/>
      <x:c r="B179" s="35"/>
      <x:c r="C179" s="35"/>
    </x:row>
    <x:row r="180" ht="15" hidden="0">
      <x:c r="A180" s="35"/>
      <x:c r="B180" s="35"/>
      <x:c r="C180" s="35"/>
    </x:row>
    <x:row r="181" ht="15" hidden="0">
      <x:c r="A181" s="35"/>
      <x:c r="B181" s="35"/>
      <x:c r="C181" s="35"/>
    </x:row>
    <x:row r="182" ht="15" hidden="0">
      <x:c r="A182" s="35"/>
      <x:c r="B182" s="35"/>
      <x:c r="C182" s="35"/>
    </x:row>
    <x:row r="183" ht="15" hidden="0">
      <x:c r="A183" s="35"/>
      <x:c r="B183" s="35"/>
      <x:c r="C183" s="35"/>
    </x:row>
    <x:row r="184" ht="15" hidden="0">
      <x:c r="A184" s="35"/>
      <x:c r="B184" s="35"/>
      <x:c r="C184" s="35"/>
    </x:row>
    <x:row r="185" ht="15" hidden="0">
      <x:c r="A185" s="35"/>
      <x:c r="B185" s="35"/>
      <x:c r="C185" s="35"/>
    </x:row>
    <x:row r="186" ht="15" hidden="0">
      <x:c r="A186" s="35"/>
      <x:c r="B186" s="35"/>
      <x:c r="C186" s="35"/>
    </x:row>
    <x:row r="187" ht="15" hidden="0">
      <x:c r="A187" s="35"/>
      <x:c r="B187" s="35"/>
      <x:c r="C187" s="35"/>
    </x:row>
    <x:row r="188" ht="15" hidden="0">
      <x:c r="A188" s="35"/>
      <x:c r="B188" s="35"/>
      <x:c r="C188" s="35"/>
    </x:row>
    <x:row r="189" ht="15" hidden="0">
      <x:c r="A189" s="35"/>
      <x:c r="B189" s="35"/>
      <x:c r="C189" s="35"/>
    </x:row>
    <x:row r="190" ht="15" hidden="0">
      <x:c r="A190" s="35"/>
      <x:c r="B190" s="35"/>
      <x:c r="C190" s="35"/>
    </x:row>
    <x:row r="191" ht="15" hidden="0">
      <x:c r="A191" s="35"/>
      <x:c r="B191" s="35"/>
      <x:c r="C191" s="35"/>
    </x:row>
    <x:row r="192" ht="15" hidden="0">
      <x:c r="A192" s="35"/>
      <x:c r="B192" s="35"/>
      <x:c r="C192" s="35"/>
    </x:row>
    <x:row r="193" ht="15" hidden="0">
      <x:c r="A193" s="35"/>
      <x:c r="B193" s="35"/>
      <x:c r="C193" s="35"/>
    </x:row>
    <x:row r="194" ht="15" hidden="0">
      <x:c r="A194" s="35"/>
      <x:c r="B194" s="35"/>
      <x:c r="C194" s="35"/>
    </x:row>
    <x:row r="195" ht="15" hidden="0">
      <x:c r="A195" s="35"/>
      <x:c r="B195" s="35"/>
      <x:c r="C195" s="35"/>
    </x:row>
    <x:row r="196" ht="15" hidden="0">
      <x:c r="A196" s="35"/>
      <x:c r="B196" s="35"/>
      <x:c r="C196" s="35"/>
    </x:row>
    <x:row r="197" ht="15" hidden="0">
      <x:c r="A197" s="35"/>
      <x:c r="B197" s="35"/>
      <x:c r="C197" s="35"/>
    </x:row>
    <x:row r="198" ht="15" hidden="0">
      <x:c r="A198" s="35"/>
      <x:c r="B198" s="35"/>
      <x:c r="C198" s="35"/>
    </x:row>
    <x:row r="199" ht="15" hidden="0">
      <x:c r="A199" s="35"/>
      <x:c r="B199" s="35"/>
      <x:c r="C199" s="35"/>
    </x:row>
    <x:row r="200" ht="15" hidden="0">
      <x:c r="A200" s="35"/>
      <x:c r="B200" s="35"/>
      <x:c r="C200" s="35"/>
    </x:row>
    <x:row r="201" ht="15" hidden="0">
      <x:c r="A201" s="35"/>
      <x:c r="B201" s="35"/>
      <x:c r="C201" s="35"/>
    </x:row>
    <x:row r="202" ht="15" hidden="0">
      <x:c r="A202" s="35"/>
      <x:c r="B202" s="35"/>
      <x:c r="C202" s="35"/>
    </x:row>
    <x:row r="203" ht="15" hidden="0">
      <x:c r="A203" s="35"/>
      <x:c r="B203" s="35"/>
      <x:c r="C203" s="35"/>
    </x:row>
    <x:row r="204" ht="15" hidden="0">
      <x:c r="A204" s="35"/>
      <x:c r="B204" s="35"/>
      <x:c r="C204" s="35"/>
    </x:row>
    <x:row r="205" ht="15" hidden="0">
      <x:c r="A205" s="35"/>
      <x:c r="B205" s="35"/>
      <x:c r="C205" s="35"/>
    </x:row>
    <x:row r="206" ht="15" hidden="0">
      <x:c r="A206" s="35"/>
      <x:c r="B206" s="35"/>
      <x:c r="C206" s="35"/>
    </x:row>
    <x:row r="207" ht="15" hidden="0">
      <x:c r="A207" s="35"/>
      <x:c r="B207" s="35"/>
      <x:c r="C207" s="35"/>
    </x:row>
    <x:row r="208" ht="15" hidden="0">
      <x:c r="A208" s="35"/>
      <x:c r="B208" s="35"/>
      <x:c r="C208" s="35"/>
    </x:row>
    <x:row r="209" ht="15" hidden="0">
      <x:c r="A209" s="35"/>
      <x:c r="B209" s="35"/>
      <x:c r="C209" s="35"/>
    </x:row>
    <x:row r="210" ht="15" hidden="0">
      <x:c r="A210" s="35"/>
      <x:c r="B210" s="35"/>
      <x:c r="C210" s="35"/>
    </x:row>
    <x:row r="211" ht="15" hidden="0">
      <x:c r="A211" s="35"/>
      <x:c r="B211" s="35"/>
      <x:c r="C211" s="35"/>
    </x:row>
    <x:row r="212" ht="15" hidden="0">
      <x:c r="A212" s="35"/>
      <x:c r="B212" s="35"/>
      <x:c r="C212" s="35"/>
    </x:row>
    <x:row r="213" ht="15" hidden="0">
      <x:c r="A213" s="35"/>
      <x:c r="B213" s="35"/>
      <x:c r="C213" s="35"/>
    </x:row>
    <x:row r="214" ht="15" hidden="0">
      <x:c r="A214" s="35"/>
      <x:c r="B214" s="35"/>
      <x:c r="C214" s="35"/>
    </x:row>
    <x:row r="215" ht="15" hidden="0">
      <x:c r="A215" s="35"/>
      <x:c r="B215" s="35"/>
      <x:c r="C215" s="35"/>
    </x:row>
    <x:row r="216" ht="15" hidden="0">
      <x:c r="A216" s="35"/>
      <x:c r="B216" s="35"/>
      <x:c r="C216" s="35"/>
    </x:row>
    <x:row r="217" ht="15" hidden="0">
      <x:c r="A217" s="35"/>
      <x:c r="B217" s="35"/>
      <x:c r="C217" s="35"/>
    </x:row>
    <x:row r="218" ht="15" hidden="0">
      <x:c r="A218" s="35"/>
      <x:c r="B218" s="35"/>
      <x:c r="C218" s="35"/>
    </x:row>
    <x:row r="219" ht="15" hidden="0">
      <x:c r="A219" s="35"/>
      <x:c r="B219" s="35"/>
      <x:c r="C219" s="35"/>
    </x:row>
    <x:row r="220" ht="15" hidden="0">
      <x:c r="A220" s="35"/>
      <x:c r="B220" s="35"/>
      <x:c r="C220" s="35"/>
    </x:row>
    <x:row r="221" ht="15" hidden="0">
      <x:c r="A221" s="35"/>
      <x:c r="B221" s="35"/>
      <x:c r="C221" s="35"/>
    </x:row>
    <x:row r="222" ht="15" hidden="0">
      <x:c r="A222" s="35"/>
      <x:c r="B222" s="35"/>
      <x:c r="C222" s="35"/>
    </x:row>
    <x:row r="223" ht="15" hidden="0">
      <x:c r="A223" s="35"/>
      <x:c r="B223" s="35"/>
      <x:c r="C223" s="35"/>
    </x:row>
    <x:row r="224" ht="15" hidden="0">
      <x:c r="A224" s="35"/>
      <x:c r="B224" s="35"/>
      <x:c r="C224" s="35"/>
    </x:row>
    <x:row r="225" ht="15" hidden="0">
      <x:c r="A225" s="35"/>
      <x:c r="B225" s="35"/>
      <x:c r="C225" s="35"/>
    </x:row>
    <x:row r="226" ht="15" hidden="0">
      <x:c r="A226" s="35"/>
      <x:c r="B226" s="35"/>
      <x:c r="C226" s="35"/>
    </x:row>
    <x:row r="227" ht="15" hidden="0">
      <x:c r="A227" s="35"/>
      <x:c r="B227" s="35"/>
      <x:c r="C227" s="35"/>
    </x:row>
    <x:row r="228" ht="15" hidden="0">
      <x:c r="A228" s="35"/>
      <x:c r="B228" s="35"/>
      <x:c r="C228" s="35"/>
    </x:row>
    <x:row r="229" ht="15" hidden="0">
      <x:c r="A229" s="35"/>
      <x:c r="B229" s="35"/>
      <x:c r="C229" s="35"/>
    </x:row>
    <x:row r="230" ht="15" hidden="0">
      <x:c r="A230" s="35"/>
      <x:c r="B230" s="35"/>
      <x:c r="C230" s="35"/>
    </x:row>
    <x:row r="231" ht="15" hidden="0">
      <x:c r="A231" s="35"/>
      <x:c r="B231" s="35"/>
      <x:c r="C231" s="35"/>
    </x:row>
    <x:row r="232" ht="15" hidden="0">
      <x:c r="A232" s="35"/>
      <x:c r="B232" s="35"/>
      <x:c r="C232" s="35"/>
    </x:row>
    <x:row r="233" ht="15" hidden="0">
      <x:c r="A233" s="35"/>
      <x:c r="B233" s="35"/>
      <x:c r="C233" s="35"/>
    </x:row>
    <x:row r="234" ht="15" hidden="0">
      <x:c r="A234" s="35"/>
      <x:c r="B234" s="35"/>
      <x:c r="C234" s="35"/>
    </x:row>
    <x:row r="235" ht="15" hidden="0">
      <x:c r="A235" s="35"/>
      <x:c r="B235" s="35"/>
      <x:c r="C235" s="35"/>
    </x:row>
    <x:row r="236" ht="15" hidden="0">
      <x:c r="A236" s="35"/>
      <x:c r="B236" s="35"/>
      <x:c r="C236" s="35"/>
    </x:row>
    <x:row r="237" ht="15" hidden="0">
      <x:c r="A237" s="35"/>
      <x:c r="B237" s="35"/>
      <x:c r="C237" s="35"/>
    </x:row>
    <x:row r="238" ht="15" hidden="0">
      <x:c r="A238" s="35"/>
      <x:c r="B238" s="35"/>
      <x:c r="C238" s="35"/>
    </x:row>
    <x:row r="239" ht="15" hidden="0">
      <x:c r="A239" s="35"/>
      <x:c r="B239" s="35"/>
      <x:c r="C239" s="35"/>
    </x:row>
    <x:row r="240" ht="15" hidden="0">
      <x:c r="A240" s="35"/>
      <x:c r="B240" s="35"/>
      <x:c r="C240" s="35"/>
    </x:row>
    <x:row r="241" ht="15" hidden="0">
      <x:c r="A241" s="35"/>
      <x:c r="B241" s="35"/>
      <x:c r="C241" s="35"/>
    </x:row>
    <x:row r="242" ht="15" hidden="0">
      <x:c r="A242" s="35"/>
      <x:c r="B242" s="35"/>
      <x:c r="C242" s="35"/>
    </x:row>
    <x:row r="243" ht="15" hidden="0">
      <x:c r="A243" s="35"/>
      <x:c r="B243" s="35"/>
      <x:c r="C243" s="35"/>
    </x:row>
    <x:row r="244" ht="15" hidden="0">
      <x:c r="A244" s="35"/>
      <x:c r="B244" s="35"/>
      <x:c r="C244" s="35"/>
    </x:row>
    <x:row r="245" ht="15" hidden="0">
      <x:c r="A245" s="35"/>
      <x:c r="B245" s="35"/>
      <x:c r="C245" s="35"/>
    </x:row>
    <x:row r="246" ht="15" hidden="0">
      <x:c r="A246" s="35"/>
      <x:c r="B246" s="35"/>
      <x:c r="C246" s="35"/>
    </x:row>
    <x:row r="247" ht="15" hidden="0">
      <x:c r="A247" s="35"/>
      <x:c r="B247" s="35"/>
      <x:c r="C247" s="35"/>
    </x:row>
    <x:row r="248" ht="15" hidden="0">
      <x:c r="A248" s="35"/>
      <x:c r="B248" s="35"/>
      <x:c r="C248" s="35"/>
    </x:row>
    <x:row r="249" ht="15" hidden="0">
      <x:c r="A249" s="35"/>
      <x:c r="B249" s="35"/>
      <x:c r="C249" s="35"/>
    </x:row>
    <x:row r="250" ht="15" hidden="0">
      <x:c r="A250" s="35"/>
      <x:c r="B250" s="35"/>
      <x:c r="C250" s="35"/>
    </x:row>
    <x:row r="251" ht="15" hidden="0">
      <x:c r="A251" s="35"/>
      <x:c r="B251" s="35"/>
      <x:c r="C251" s="35"/>
    </x:row>
    <x:row r="252" ht="15" hidden="0">
      <x:c r="A252" s="35"/>
      <x:c r="B252" s="35"/>
      <x:c r="C252" s="35"/>
    </x:row>
    <x:row r="253" ht="15" hidden="0">
      <x:c r="A253" s="35"/>
      <x:c r="B253" s="35"/>
      <x:c r="C253" s="35"/>
    </x:row>
    <x:row r="254" ht="15" hidden="0">
      <x:c r="A254" s="35"/>
      <x:c r="B254" s="35"/>
      <x:c r="C254" s="35"/>
    </x:row>
    <x:row r="255" ht="15" hidden="0">
      <x:c r="A255" s="35"/>
      <x:c r="B255" s="35"/>
      <x:c r="C255" s="35"/>
    </x:row>
    <x:row r="256" ht="15" hidden="0">
      <x:c r="A256" s="35"/>
      <x:c r="B256" s="35"/>
      <x:c r="C256" s="35"/>
    </x:row>
    <x:row r="257" ht="15" hidden="0">
      <x:c r="A257" s="35"/>
      <x:c r="B257" s="35"/>
      <x:c r="C257" s="35"/>
    </x:row>
    <x:row r="258" ht="15" hidden="0">
      <x:c r="A258" s="35"/>
      <x:c r="B258" s="35"/>
      <x:c r="C258" s="35"/>
    </x:row>
    <x:row r="259" ht="15" hidden="0">
      <x:c r="A259" s="35"/>
      <x:c r="B259" s="35"/>
      <x:c r="C259" s="35"/>
    </x:row>
    <x:row r="260" ht="15" hidden="0">
      <x:c r="A260" s="35"/>
      <x:c r="B260" s="35"/>
      <x:c r="C260" s="35"/>
    </x:row>
    <x:row r="261" ht="15" hidden="0">
      <x:c r="A261" s="35"/>
      <x:c r="B261" s="35"/>
      <x:c r="C261" s="35"/>
    </x:row>
    <x:row r="262" ht="15" hidden="0">
      <x:c r="A262" s="35"/>
      <x:c r="B262" s="35"/>
      <x:c r="C262" s="35"/>
    </x:row>
    <x:row r="263" ht="15" hidden="0">
      <x:c r="A263" s="35"/>
      <x:c r="B263" s="35"/>
      <x:c r="C263" s="35"/>
    </x:row>
    <x:row r="264" ht="15" hidden="0">
      <x:c r="A264" s="35"/>
      <x:c r="B264" s="35"/>
      <x:c r="C264" s="35"/>
    </x:row>
    <x:row r="265" ht="15" hidden="0">
      <x:c r="A265" s="35"/>
      <x:c r="B265" s="35"/>
      <x:c r="C265" s="35"/>
    </x:row>
    <x:row r="266" ht="15" hidden="0">
      <x:c r="A266" s="35"/>
      <x:c r="B266" s="35"/>
      <x:c r="C266" s="35"/>
    </x:row>
    <x:row r="267" ht="15" hidden="0">
      <x:c r="A267" s="35"/>
      <x:c r="B267" s="35"/>
      <x:c r="C267" s="35"/>
    </x:row>
    <x:row r="268" ht="15" hidden="0">
      <x:c r="A268" s="35"/>
      <x:c r="B268" s="35"/>
      <x:c r="C268" s="35"/>
    </x:row>
    <x:row r="269" ht="15" hidden="0">
      <x:c r="A269" s="35"/>
      <x:c r="B269" s="35"/>
      <x:c r="C269" s="35"/>
    </x:row>
    <x:row r="270" ht="15" hidden="0">
      <x:c r="A270" s="35"/>
      <x:c r="B270" s="35"/>
      <x:c r="C270" s="35"/>
    </x:row>
    <x:row r="271" ht="15" hidden="0">
      <x:c r="A271" s="35"/>
      <x:c r="B271" s="35"/>
      <x:c r="C271" s="35"/>
    </x:row>
    <x:row r="272" ht="15" hidden="0">
      <x:c r="A272" s="35"/>
      <x:c r="B272" s="35"/>
      <x:c r="C272" s="35"/>
    </x:row>
    <x:row r="273" ht="15" hidden="0">
      <x:c r="A273" s="35"/>
      <x:c r="B273" s="35"/>
      <x:c r="C273" s="35"/>
    </x:row>
    <x:row r="274" ht="15" hidden="0">
      <x:c r="A274" s="35"/>
      <x:c r="B274" s="35"/>
      <x:c r="C274" s="35"/>
    </x:row>
    <x:row r="275" ht="15" hidden="0">
      <x:c r="A275" s="35"/>
      <x:c r="B275" s="35"/>
      <x:c r="C275" s="35"/>
    </x:row>
    <x:row r="276" ht="15" hidden="0">
      <x:c r="A276" s="35"/>
      <x:c r="B276" s="35"/>
      <x:c r="C276" s="35"/>
    </x:row>
    <x:row r="277" ht="15" hidden="0">
      <x:c r="A277" s="35"/>
      <x:c r="B277" s="35"/>
      <x:c r="C277" s="35"/>
    </x:row>
    <x:row r="278" ht="15" hidden="0">
      <x:c r="A278" s="35"/>
      <x:c r="B278" s="35"/>
      <x:c r="C278" s="35"/>
    </x:row>
    <x:row r="279" ht="15" hidden="0">
      <x:c r="A279" s="35"/>
      <x:c r="B279" s="35"/>
      <x:c r="C279" s="35"/>
    </x:row>
    <x:row r="280" ht="15" hidden="0">
      <x:c r="A280" s="35"/>
      <x:c r="B280" s="35"/>
      <x:c r="C280" s="35"/>
    </x:row>
    <x:row r="281" ht="15" hidden="0">
      <x:c r="A281" s="35"/>
      <x:c r="B281" s="35"/>
      <x:c r="C281" s="35"/>
    </x:row>
    <x:row r="282" ht="15" hidden="0">
      <x:c r="A282" s="35"/>
      <x:c r="B282" s="35"/>
      <x:c r="C282" s="35"/>
    </x:row>
    <x:row r="283" ht="15" hidden="0">
      <x:c r="A283" s="35"/>
      <x:c r="B283" s="35"/>
      <x:c r="C283" s="35"/>
    </x:row>
    <x:row r="284" ht="15" hidden="0">
      <x:c r="A284" s="35"/>
      <x:c r="B284" s="35"/>
      <x:c r="C284" s="35"/>
    </x:row>
    <x:row r="285" ht="15" hidden="0">
      <x:c r="A285" s="35"/>
      <x:c r="B285" s="35"/>
      <x:c r="C285" s="35"/>
    </x:row>
    <x:row r="286" ht="15" hidden="0">
      <x:c r="A286" s="35"/>
      <x:c r="B286" s="35"/>
      <x:c r="C286" s="35"/>
    </x:row>
    <x:row r="287" ht="15" hidden="0">
      <x:c r="A287" s="35"/>
      <x:c r="B287" s="35"/>
      <x:c r="C287" s="35"/>
    </x:row>
    <x:row r="288" ht="15" hidden="0">
      <x:c r="A288" s="35"/>
      <x:c r="B288" s="35"/>
      <x:c r="C288" s="35"/>
    </x:row>
    <x:row r="289" ht="15" hidden="0">
      <x:c r="A289" s="35"/>
      <x:c r="B289" s="35"/>
      <x:c r="C289" s="35"/>
    </x:row>
    <x:row r="290" ht="15" hidden="0">
      <x:c r="A290" s="35"/>
      <x:c r="B290" s="35"/>
      <x:c r="C290" s="35"/>
    </x:row>
    <x:row r="291" ht="15" hidden="0">
      <x:c r="A291" s="35"/>
      <x:c r="B291" s="35"/>
      <x:c r="C291" s="35"/>
    </x:row>
    <x:row r="292" ht="15" hidden="0">
      <x:c r="A292" s="35"/>
      <x:c r="B292" s="35"/>
      <x:c r="C292" s="35"/>
    </x:row>
    <x:row r="293" ht="15" hidden="0">
      <x:c r="A293" s="35"/>
      <x:c r="B293" s="35"/>
      <x:c r="C293" s="35"/>
    </x:row>
    <x:row r="294" ht="15" hidden="0">
      <x:c r="A294" s="35"/>
      <x:c r="B294" s="35"/>
      <x:c r="C294" s="35"/>
    </x:row>
    <x:row r="295" ht="15" hidden="0">
      <x:c r="A295" s="35"/>
      <x:c r="B295" s="35"/>
      <x:c r="C295" s="35"/>
    </x:row>
    <x:row r="296" ht="15" hidden="0">
      <x:c r="A296" s="35"/>
      <x:c r="B296" s="35"/>
      <x:c r="C296" s="35"/>
    </x:row>
    <x:row r="297" ht="15" hidden="0">
      <x:c r="A297" s="35"/>
      <x:c r="B297" s="35"/>
      <x:c r="C297" s="35"/>
    </x:row>
    <x:row r="298" ht="15" hidden="0">
      <x:c r="A298" s="35"/>
      <x:c r="B298" s="35"/>
      <x:c r="C298" s="35"/>
    </x:row>
    <x:row r="299" ht="15" hidden="0">
      <x:c r="A299" s="35"/>
      <x:c r="B299" s="35"/>
      <x:c r="C299" s="35"/>
    </x:row>
    <x:row r="300" ht="15" hidden="0">
      <x:c r="A300" s="35"/>
      <x:c r="B300" s="35"/>
      <x:c r="C300" s="35"/>
    </x:row>
    <x:row r="301" ht="15" hidden="0">
      <x:c r="A301" s="35"/>
      <x:c r="B301" s="35"/>
      <x:c r="C301" s="35"/>
    </x:row>
    <x:row r="302" ht="15" hidden="0">
      <x:c r="A302" s="35"/>
      <x:c r="B302" s="35"/>
      <x:c r="C302" s="35"/>
    </x:row>
    <x:row r="303" ht="15" hidden="0">
      <x:c r="A303" s="35"/>
      <x:c r="B303" s="35"/>
      <x:c r="C303" s="35"/>
    </x:row>
    <x:row r="304" ht="15" hidden="0">
      <x:c r="A304" s="35"/>
      <x:c r="B304" s="35"/>
      <x:c r="C304" s="35"/>
    </x:row>
    <x:row r="305" ht="15" hidden="0">
      <x:c r="A305" s="35"/>
      <x:c r="B305" s="35"/>
      <x:c r="C305" s="35"/>
    </x:row>
    <x:row r="306" ht="15" hidden="0">
      <x:c r="A306" s="35"/>
      <x:c r="B306" s="35"/>
      <x:c r="C306" s="35"/>
    </x:row>
    <x:row r="307" ht="15" hidden="0">
      <x:c r="A307" s="35"/>
      <x:c r="B307" s="35"/>
      <x:c r="C307" s="35"/>
    </x:row>
    <x:row r="308" ht="15" hidden="0">
      <x:c r="A308" s="35"/>
      <x:c r="B308" s="35"/>
      <x:c r="C308" s="35"/>
    </x:row>
    <x:row r="309" ht="15" hidden="0">
      <x:c r="A309" s="35"/>
      <x:c r="B309" s="35"/>
      <x:c r="C309" s="35"/>
    </x:row>
    <x:row r="310" ht="15" hidden="0">
      <x:c r="A310" s="35"/>
      <x:c r="B310" s="35"/>
      <x:c r="C310" s="35"/>
    </x:row>
    <x:row r="311" ht="15" hidden="0">
      <x:c r="A311" s="35"/>
      <x:c r="B311" s="35"/>
      <x:c r="C311" s="35"/>
    </x:row>
    <x:row r="312" ht="15" hidden="0">
      <x:c r="A312" s="35"/>
      <x:c r="B312" s="35"/>
      <x:c r="C312" s="35"/>
    </x:row>
    <x:row r="313" ht="15" hidden="0">
      <x:c r="A313" s="35"/>
      <x:c r="B313" s="35"/>
      <x:c r="C313" s="35"/>
    </x:row>
    <x:row r="314" ht="15" hidden="0">
      <x:c r="A314" s="35"/>
      <x:c r="B314" s="35"/>
      <x:c r="C314" s="35"/>
    </x:row>
    <x:row r="315" ht="15" hidden="0">
      <x:c r="A315" s="35"/>
      <x:c r="B315" s="35"/>
      <x:c r="C315" s="35"/>
    </x:row>
    <x:row r="316" ht="15" hidden="0">
      <x:c r="A316" s="35"/>
      <x:c r="B316" s="35"/>
      <x:c r="C316" s="35"/>
    </x:row>
    <x:row r="317" ht="15" hidden="0">
      <x:c r="A317" s="35"/>
      <x:c r="B317" s="35"/>
      <x:c r="C317" s="35"/>
    </x:row>
    <x:row r="318" ht="15" hidden="0">
      <x:c r="A318" s="35"/>
      <x:c r="B318" s="35"/>
      <x:c r="C318" s="35"/>
    </x:row>
    <x:row r="319" ht="15" hidden="0">
      <x:c r="A319" s="35"/>
      <x:c r="B319" s="35"/>
      <x:c r="C319" s="35"/>
    </x:row>
    <x:row r="320" ht="15" hidden="0">
      <x:c r="A320" s="35"/>
      <x:c r="B320" s="35"/>
      <x:c r="C320" s="35"/>
    </x:row>
    <x:row r="321" ht="15" hidden="0">
      <x:c r="A321" s="35"/>
      <x:c r="B321" s="35"/>
      <x:c r="C321" s="35"/>
    </x:row>
    <x:row r="322" ht="15" hidden="0">
      <x:c r="A322" s="35"/>
      <x:c r="B322" s="35"/>
      <x:c r="C322" s="35"/>
    </x:row>
    <x:row r="323" ht="15" hidden="0">
      <x:c r="A323" s="35"/>
      <x:c r="B323" s="35"/>
      <x:c r="C323" s="35"/>
    </x:row>
    <x:row r="324" ht="15" hidden="0">
      <x:c r="A324" s="35"/>
      <x:c r="B324" s="35"/>
      <x:c r="C324" s="35"/>
    </x:row>
    <x:row r="325" ht="15" hidden="0">
      <x:c r="A325" s="35"/>
      <x:c r="B325" s="35"/>
      <x:c r="C325" s="35"/>
    </x:row>
    <x:row r="326" ht="15" hidden="0">
      <x:c r="A326" s="35"/>
      <x:c r="B326" s="35"/>
      <x:c r="C326" s="35"/>
    </x:row>
    <x:row r="327" ht="15" hidden="0">
      <x:c r="A327" s="35"/>
      <x:c r="B327" s="35"/>
      <x:c r="C327" s="35"/>
    </x:row>
    <x:row r="328" ht="15" hidden="0">
      <x:c r="A328" s="35"/>
      <x:c r="B328" s="35"/>
      <x:c r="C328" s="35"/>
    </x:row>
    <x:row r="329" ht="15" hidden="0">
      <x:c r="A329" s="35"/>
      <x:c r="B329" s="35"/>
      <x:c r="C329" s="35"/>
    </x:row>
    <x:row r="330" ht="15" hidden="0">
      <x:c r="A330" s="35"/>
      <x:c r="B330" s="35"/>
      <x:c r="C330" s="35"/>
    </x:row>
    <x:row r="331" ht="15" hidden="0">
      <x:c r="A331" s="35"/>
      <x:c r="B331" s="35"/>
      <x:c r="C331" s="35"/>
    </x:row>
    <x:row r="332" ht="15" hidden="0">
      <x:c r="A332" s="35"/>
      <x:c r="B332" s="35"/>
      <x:c r="C332" s="35"/>
    </x:row>
    <x:row r="333" ht="15" hidden="0">
      <x:c r="A333" s="35"/>
      <x:c r="B333" s="35"/>
      <x:c r="C333" s="35"/>
    </x:row>
    <x:row r="334" ht="15" hidden="0">
      <x:c r="A334" s="35"/>
      <x:c r="B334" s="35"/>
      <x:c r="C334" s="35"/>
    </x:row>
    <x:row r="335" ht="15" hidden="0">
      <x:c r="A335" s="35"/>
      <x:c r="B335" s="35"/>
      <x:c r="C335" s="35"/>
    </x:row>
    <x:row r="336" ht="15" hidden="0">
      <x:c r="A336" s="35"/>
      <x:c r="B336" s="35"/>
      <x:c r="C336" s="35"/>
    </x:row>
    <x:row r="337" ht="15" hidden="0">
      <x:c r="A337" s="35"/>
      <x:c r="B337" s="35"/>
      <x:c r="C337" s="35"/>
    </x:row>
    <x:row r="338" ht="15" hidden="0">
      <x:c r="A338" s="35"/>
      <x:c r="B338" s="35"/>
      <x:c r="C338" s="35"/>
    </x:row>
    <x:row r="339" ht="15" hidden="0">
      <x:c r="A339" s="35"/>
      <x:c r="B339" s="35"/>
      <x:c r="C339" s="35"/>
    </x:row>
    <x:row r="340" ht="15" hidden="0">
      <x:c r="A340" s="35"/>
      <x:c r="B340" s="35"/>
      <x:c r="C340" s="35"/>
    </x:row>
    <x:row r="341" ht="15" hidden="0">
      <x:c r="A341" s="35"/>
      <x:c r="B341" s="35"/>
      <x:c r="C341" s="35"/>
    </x:row>
    <x:row r="342" ht="15" hidden="0">
      <x:c r="A342" s="35"/>
      <x:c r="B342" s="35"/>
      <x:c r="C342" s="35"/>
    </x:row>
    <x:row r="343" ht="15" hidden="0">
      <x:c r="A343" s="35"/>
      <x:c r="B343" s="35"/>
      <x:c r="C343" s="35"/>
    </x:row>
    <x:row r="344" ht="15" hidden="0">
      <x:c r="A344" s="35"/>
      <x:c r="B344" s="35"/>
      <x:c r="C344" s="35"/>
    </x:row>
    <x:row r="345" ht="15" hidden="0">
      <x:c r="A345" s="35"/>
      <x:c r="B345" s="35"/>
      <x:c r="C345" s="35"/>
    </x:row>
    <x:row r="346" ht="15" hidden="0">
      <x:c r="A346" s="35"/>
      <x:c r="B346" s="35"/>
      <x:c r="C346" s="35"/>
    </x:row>
    <x:row r="347" ht="15" hidden="0">
      <x:c r="A347" s="35"/>
      <x:c r="B347" s="35"/>
      <x:c r="C347" s="35"/>
    </x:row>
    <x:row r="348" ht="15" hidden="0">
      <x:c r="A348" s="35"/>
      <x:c r="B348" s="35"/>
      <x:c r="C348" s="35"/>
    </x:row>
    <x:row r="349" ht="15" hidden="0">
      <x:c r="A349" s="35"/>
      <x:c r="B349" s="35"/>
      <x:c r="C349" s="35"/>
    </x:row>
    <x:row r="350" ht="15" hidden="0">
      <x:c r="A350" s="35"/>
      <x:c r="B350" s="35"/>
      <x:c r="C350" s="35"/>
    </x:row>
    <x:row r="351" ht="15" hidden="0">
      <x:c r="A351" s="35"/>
      <x:c r="B351" s="35"/>
      <x:c r="C351" s="35"/>
    </x:row>
    <x:row r="352" ht="15" hidden="0">
      <x:c r="A352" s="35"/>
      <x:c r="B352" s="35"/>
      <x:c r="C352" s="35"/>
    </x:row>
    <x:row r="353" ht="15" hidden="0">
      <x:c r="A353" s="35"/>
      <x:c r="B353" s="35"/>
      <x:c r="C353" s="35"/>
    </x:row>
    <x:row r="354" ht="15" hidden="0">
      <x:c r="A354" s="35"/>
      <x:c r="B354" s="35"/>
      <x:c r="C354" s="35"/>
    </x:row>
    <x:row r="355" ht="15" hidden="0">
      <x:c r="A355" s="35"/>
      <x:c r="B355" s="35"/>
      <x:c r="C355" s="35"/>
    </x:row>
    <x:row r="356" ht="15" hidden="0">
      <x:c r="A356" s="35"/>
      <x:c r="B356" s="35"/>
      <x:c r="C356" s="35"/>
    </x:row>
    <x:row r="357" ht="15" hidden="0">
      <x:c r="A357" s="35"/>
      <x:c r="B357" s="35"/>
      <x:c r="C357" s="35"/>
    </x:row>
    <x:row r="358" ht="15" hidden="0">
      <x:c r="A358" s="35"/>
      <x:c r="B358" s="35"/>
      <x:c r="C358" s="35"/>
    </x:row>
    <x:row r="359" ht="15" hidden="0">
      <x:c r="A359" s="35"/>
      <x:c r="B359" s="35"/>
      <x:c r="C359" s="35"/>
    </x:row>
    <x:row r="360" ht="15" hidden="0">
      <x:c r="A360" s="35"/>
      <x:c r="B360" s="35"/>
      <x:c r="C360" s="35"/>
    </x:row>
    <x:row r="361" ht="15" hidden="0">
      <x:c r="A361" s="35"/>
      <x:c r="B361" s="35"/>
      <x:c r="C361" s="35"/>
    </x:row>
    <x:row r="362" ht="15" hidden="0">
      <x:c r="A362" s="35"/>
      <x:c r="B362" s="35"/>
      <x:c r="C362" s="35"/>
    </x:row>
    <x:row r="363" ht="15" hidden="0">
      <x:c r="A363" s="35"/>
      <x:c r="B363" s="35"/>
      <x:c r="C363" s="35"/>
    </x:row>
    <x:row r="364" ht="15" hidden="0">
      <x:c r="A364" s="35"/>
      <x:c r="B364" s="35"/>
      <x:c r="C364" s="35"/>
    </x:row>
    <x:row r="365" ht="15" hidden="0">
      <x:c r="A365" s="35"/>
      <x:c r="B365" s="35"/>
      <x:c r="C365" s="35"/>
    </x:row>
    <x:row r="366" ht="15" hidden="0">
      <x:c r="A366" s="35"/>
      <x:c r="B366" s="35"/>
      <x:c r="C366" s="35"/>
    </x:row>
    <x:row r="367" ht="15" hidden="0">
      <x:c r="A367" s="35"/>
      <x:c r="B367" s="35"/>
      <x:c r="C367" s="35"/>
    </x:row>
    <x:row r="368" ht="15" hidden="0">
      <x:c r="A368" s="35"/>
      <x:c r="B368" s="35"/>
      <x:c r="C368" s="35"/>
    </x:row>
    <x:row r="369" ht="15" hidden="0">
      <x:c r="A369" s="35"/>
      <x:c r="B369" s="35"/>
      <x:c r="C369" s="35"/>
    </x:row>
    <x:row r="370" ht="15" hidden="0">
      <x:c r="A370" s="35"/>
      <x:c r="B370" s="35"/>
      <x:c r="C370" s="35"/>
    </x:row>
    <x:row r="371" ht="15" hidden="0">
      <x:c r="A371" s="35"/>
      <x:c r="B371" s="35"/>
      <x:c r="C371" s="35"/>
    </x:row>
    <x:row r="372" ht="15" hidden="0">
      <x:c r="A372" s="35"/>
      <x:c r="B372" s="35"/>
      <x:c r="C372" s="35"/>
    </x:row>
    <x:row r="373" ht="15" hidden="0">
      <x:c r="A373" s="35"/>
      <x:c r="B373" s="35"/>
      <x:c r="C373" s="35"/>
    </x:row>
    <x:row r="374" ht="15" hidden="0">
      <x:c r="A374" s="35"/>
      <x:c r="B374" s="35"/>
      <x:c r="C374" s="35"/>
    </x:row>
    <x:row r="375" ht="15" hidden="0">
      <x:c r="A375" s="35"/>
      <x:c r="B375" s="35"/>
      <x:c r="C375" s="35"/>
    </x:row>
    <x:row r="376" ht="15" hidden="0">
      <x:c r="A376" s="35"/>
      <x:c r="B376" s="35"/>
      <x:c r="C376" s="35"/>
    </x:row>
    <x:row r="377" ht="15" hidden="0">
      <x:c r="A377" s="35"/>
      <x:c r="B377" s="35"/>
      <x:c r="C377" s="35"/>
    </x:row>
    <x:row r="378" ht="15" hidden="0">
      <x:c r="A378" s="35"/>
      <x:c r="B378" s="35"/>
      <x:c r="C378" s="35"/>
    </x:row>
    <x:row r="379" ht="15" hidden="0">
      <x:c r="A379" s="35"/>
      <x:c r="B379" s="35"/>
      <x:c r="C379" s="35"/>
    </x:row>
    <x:row r="380" ht="15" hidden="0">
      <x:c r="A380" s="35"/>
      <x:c r="B380" s="35"/>
      <x:c r="C380" s="35"/>
    </x:row>
    <x:row r="381" ht="15" hidden="0">
      <x:c r="A381" s="35"/>
      <x:c r="B381" s="35"/>
      <x:c r="C381" s="35"/>
    </x:row>
    <x:row r="382" ht="15" hidden="0">
      <x:c r="A382" s="35"/>
      <x:c r="B382" s="35"/>
      <x:c r="C382" s="35"/>
    </x:row>
    <x:row r="383" ht="15" hidden="0">
      <x:c r="A383" s="35"/>
      <x:c r="B383" s="35"/>
      <x:c r="C383" s="35"/>
    </x:row>
    <x:row r="384" ht="15" hidden="0">
      <x:c r="A384" s="35"/>
      <x:c r="B384" s="35"/>
      <x:c r="C384" s="35"/>
    </x:row>
    <x:row r="385" ht="15" hidden="0">
      <x:c r="A385" s="35"/>
      <x:c r="B385" s="35"/>
      <x:c r="C385" s="35"/>
    </x:row>
    <x:row r="386" ht="15" hidden="0">
      <x:c r="A386" s="35"/>
      <x:c r="B386" s="35"/>
      <x:c r="C386" s="35"/>
    </x:row>
    <x:row r="387" ht="15" hidden="0">
      <x:c r="A387" s="35"/>
      <x:c r="B387" s="35"/>
      <x:c r="C387" s="35"/>
    </x:row>
    <x:row r="388" ht="15" hidden="0">
      <x:c r="A388" s="35"/>
      <x:c r="B388" s="35"/>
      <x:c r="C388" s="35"/>
    </x:row>
    <x:row r="389" ht="15" hidden="0">
      <x:c r="A389" s="35"/>
      <x:c r="B389" s="35"/>
      <x:c r="C389" s="35"/>
    </x:row>
    <x:row r="390" ht="15" hidden="0">
      <x:c r="A390" s="35"/>
      <x:c r="B390" s="35"/>
      <x:c r="C390" s="35"/>
    </x:row>
    <x:row r="391" ht="15" hidden="0">
      <x:c r="A391" s="35"/>
      <x:c r="B391" s="35"/>
      <x:c r="C391" s="35"/>
    </x:row>
    <x:row r="392" ht="15" hidden="0">
      <x:c r="A392" s="35"/>
      <x:c r="B392" s="35"/>
      <x:c r="C392" s="35"/>
    </x:row>
    <x:row r="393" ht="15" hidden="0">
      <x:c r="A393" s="35"/>
      <x:c r="B393" s="35"/>
      <x:c r="C393" s="35"/>
    </x:row>
    <x:row r="394" ht="15" hidden="0">
      <x:c r="A394" s="35"/>
      <x:c r="B394" s="35"/>
      <x:c r="C394" s="35"/>
    </x:row>
    <x:row r="395" ht="15" hidden="0">
      <x:c r="A395" s="35"/>
      <x:c r="B395" s="35"/>
      <x:c r="C395" s="35"/>
    </x:row>
    <x:row r="396" ht="15" hidden="0">
      <x:c r="A396" s="35"/>
      <x:c r="B396" s="35"/>
      <x:c r="C396" s="35"/>
    </x:row>
    <x:row r="397" ht="15" hidden="0">
      <x:c r="A397" s="35"/>
      <x:c r="B397" s="35"/>
      <x:c r="C397" s="35"/>
    </x:row>
    <x:row r="398" ht="15" hidden="0">
      <x:c r="A398" s="35"/>
      <x:c r="B398" s="35"/>
      <x:c r="C398" s="35"/>
    </x:row>
    <x:row r="399" ht="15" hidden="0">
      <x:c r="A399" s="35"/>
      <x:c r="B399" s="35"/>
      <x:c r="C399" s="35"/>
    </x:row>
    <x:row r="400" ht="15" hidden="0">
      <x:c r="A400" s="35"/>
      <x:c r="B400" s="35"/>
      <x:c r="C400" s="35"/>
    </x:row>
    <x:row r="401" ht="15" hidden="0">
      <x:c r="A401" s="35"/>
      <x:c r="B401" s="35"/>
      <x:c r="C401" s="35"/>
    </x:row>
    <x:row r="402" ht="15" hidden="0">
      <x:c r="A402" s="35"/>
      <x:c r="B402" s="35"/>
      <x:c r="C402" s="35"/>
    </x:row>
    <x:row r="403" ht="15" hidden="0">
      <x:c r="A403" s="35"/>
      <x:c r="B403" s="35"/>
      <x:c r="C403" s="35"/>
    </x:row>
    <x:row r="404" ht="15" hidden="0">
      <x:c r="A404" s="35"/>
      <x:c r="B404" s="35"/>
      <x:c r="C404" s="35"/>
    </x:row>
    <x:row r="405" ht="15" hidden="0">
      <x:c r="A405" s="35"/>
      <x:c r="B405" s="35"/>
      <x:c r="C405" s="35"/>
    </x:row>
    <x:row r="406" ht="15" hidden="0">
      <x:c r="A406" s="35"/>
      <x:c r="B406" s="35"/>
      <x:c r="C406" s="35"/>
    </x:row>
    <x:row r="407" ht="15" hidden="0">
      <x:c r="A407" s="35"/>
      <x:c r="B407" s="35"/>
      <x:c r="C407" s="35"/>
    </x:row>
    <x:row r="408" ht="15" hidden="0">
      <x:c r="A408" s="35"/>
      <x:c r="B408" s="35"/>
      <x:c r="C408" s="35"/>
    </x:row>
    <x:row r="409" ht="15" hidden="0">
      <x:c r="A409" s="35"/>
      <x:c r="B409" s="35"/>
      <x:c r="C409" s="35"/>
    </x:row>
    <x:row r="410" ht="15" hidden="0">
      <x:c r="A410" s="35"/>
      <x:c r="B410" s="35"/>
      <x:c r="C410" s="35"/>
    </x:row>
    <x:row r="411" ht="15" hidden="0">
      <x:c r="A411" s="35"/>
      <x:c r="B411" s="35"/>
      <x:c r="C411" s="35"/>
    </x:row>
    <x:row r="412" ht="15" hidden="0">
      <x:c r="A412" s="35"/>
      <x:c r="B412" s="35"/>
      <x:c r="C412" s="35"/>
    </x:row>
    <x:row r="413" ht="15" hidden="0">
      <x:c r="A413" s="35"/>
      <x:c r="B413" s="35"/>
      <x:c r="C413" s="35"/>
    </x:row>
    <x:row r="414" ht="15" hidden="0">
      <x:c r="A414" s="35"/>
      <x:c r="B414" s="35"/>
      <x:c r="C414" s="35"/>
    </x:row>
    <x:row r="415" ht="15" hidden="0">
      <x:c r="A415" s="35"/>
      <x:c r="B415" s="35"/>
      <x:c r="C415" s="35"/>
    </x:row>
    <x:row r="416" ht="15" hidden="0">
      <x:c r="A416" s="35"/>
      <x:c r="B416" s="35"/>
      <x:c r="C416" s="35"/>
    </x:row>
    <x:row r="417" ht="15" hidden="0">
      <x:c r="A417" s="35"/>
      <x:c r="B417" s="35"/>
      <x:c r="C417" s="35"/>
    </x:row>
    <x:row r="418" ht="15" hidden="0">
      <x:c r="A418" s="35"/>
      <x:c r="B418" s="35"/>
      <x:c r="C418" s="35"/>
    </x:row>
    <x:row r="419" ht="15" hidden="0">
      <x:c r="A419" s="35"/>
      <x:c r="B419" s="35"/>
      <x:c r="C419" s="35"/>
    </x:row>
    <x:row r="420" ht="15" hidden="0">
      <x:c r="A420" s="35"/>
      <x:c r="B420" s="35"/>
      <x:c r="C420" s="35"/>
    </x:row>
    <x:row r="421" ht="15" hidden="0">
      <x:c r="A421" s="35"/>
      <x:c r="B421" s="35"/>
      <x:c r="C421" s="35"/>
    </x:row>
    <x:row r="422" ht="15" hidden="0">
      <x:c r="A422" s="35"/>
      <x:c r="B422" s="35"/>
      <x:c r="C422" s="35"/>
    </x:row>
    <x:row r="423" ht="15" hidden="0">
      <x:c r="A423" s="35"/>
      <x:c r="B423" s="35"/>
      <x:c r="C423" s="35"/>
    </x:row>
    <x:row r="424" ht="15" hidden="0">
      <x:c r="A424" s="35"/>
      <x:c r="B424" s="35"/>
      <x:c r="C424" s="35"/>
    </x:row>
    <x:row r="425" ht="15" hidden="0">
      <x:c r="A425" s="35"/>
      <x:c r="B425" s="35"/>
      <x:c r="C425" s="35"/>
    </x:row>
    <x:row r="426" ht="15" hidden="0">
      <x:c r="A426" s="35"/>
      <x:c r="B426" s="35"/>
      <x:c r="C426" s="35"/>
    </x:row>
    <x:row r="427" ht="15" hidden="0">
      <x:c r="A427" s="35"/>
      <x:c r="B427" s="35"/>
      <x:c r="C427" s="35"/>
    </x:row>
    <x:row r="428" ht="15" hidden="0">
      <x:c r="A428" s="35"/>
      <x:c r="B428" s="35"/>
      <x:c r="C428" s="35"/>
    </x:row>
    <x:row r="429" ht="15" hidden="0">
      <x:c r="A429" s="35"/>
      <x:c r="B429" s="35"/>
      <x:c r="C429" s="35"/>
    </x:row>
    <x:row r="430" ht="15" hidden="0">
      <x:c r="A430" s="35"/>
      <x:c r="B430" s="35"/>
      <x:c r="C430" s="35"/>
    </x:row>
    <x:row r="431" ht="15" hidden="0">
      <x:c r="A431" s="35"/>
      <x:c r="B431" s="35"/>
      <x:c r="C431" s="35"/>
    </x:row>
    <x:row r="432" ht="15" hidden="0">
      <x:c r="A432" s="35"/>
      <x:c r="B432" s="35"/>
      <x:c r="C432" s="35"/>
    </x:row>
    <x:row r="433" ht="15" hidden="0">
      <x:c r="A433" s="35"/>
      <x:c r="B433" s="35"/>
      <x:c r="C433" s="35"/>
    </x:row>
    <x:row r="434" ht="15" hidden="0">
      <x:c r="A434" s="35"/>
      <x:c r="B434" s="35"/>
      <x:c r="C434" s="35"/>
    </x:row>
    <x:row r="435" ht="15" hidden="0">
      <x:c r="A435" s="35"/>
      <x:c r="B435" s="35"/>
      <x:c r="C435" s="35"/>
    </x:row>
    <x:row r="436" ht="15" hidden="0">
      <x:c r="A436" s="35"/>
      <x:c r="B436" s="35"/>
      <x:c r="C436" s="35"/>
    </x:row>
    <x:row r="437" ht="15" hidden="0">
      <x:c r="A437" s="35"/>
      <x:c r="B437" s="35"/>
      <x:c r="C437" s="35"/>
    </x:row>
    <x:row r="438" ht="15" hidden="0">
      <x:c r="A438" s="35"/>
      <x:c r="B438" s="35"/>
      <x:c r="C438" s="35"/>
    </x:row>
    <x:row r="439" ht="15" hidden="0">
      <x:c r="A439" s="35"/>
      <x:c r="B439" s="35"/>
      <x:c r="C439" s="35"/>
    </x:row>
    <x:row r="440" ht="15" hidden="0">
      <x:c r="A440" s="35"/>
      <x:c r="B440" s="35"/>
      <x:c r="C440" s="35"/>
    </x:row>
    <x:row r="441" ht="15" hidden="0">
      <x:c r="A441" s="35"/>
      <x:c r="B441" s="35"/>
      <x:c r="C441" s="35"/>
    </x:row>
    <x:row r="442" ht="15" hidden="0">
      <x:c r="A442" s="35"/>
      <x:c r="B442" s="35"/>
      <x:c r="C442" s="35"/>
    </x:row>
    <x:row r="443" ht="15" hidden="0">
      <x:c r="A443" s="35"/>
      <x:c r="B443" s="35"/>
      <x:c r="C443" s="35"/>
    </x:row>
    <x:row r="444" ht="15" hidden="0">
      <x:c r="A444" s="35"/>
      <x:c r="B444" s="35"/>
      <x:c r="C444" s="35"/>
    </x:row>
    <x:row r="445" ht="15" hidden="0">
      <x:c r="A445" s="35"/>
      <x:c r="B445" s="35"/>
      <x:c r="C445" s="35"/>
    </x:row>
    <x:row r="446" ht="15" hidden="0">
      <x:c r="A446" s="35"/>
      <x:c r="B446" s="35"/>
      <x:c r="C446" s="35"/>
    </x:row>
    <x:row r="447" ht="15" hidden="0">
      <x:c r="A447" s="35"/>
      <x:c r="B447" s="35"/>
      <x:c r="C447" s="35"/>
    </x:row>
    <x:row r="448" ht="15" hidden="0">
      <x:c r="A448" s="35"/>
      <x:c r="B448" s="35"/>
      <x:c r="C448" s="35"/>
    </x:row>
    <x:row r="449" ht="15" hidden="0">
      <x:c r="A449" s="35"/>
      <x:c r="B449" s="35"/>
      <x:c r="C449" s="35"/>
    </x:row>
    <x:row r="450" ht="15" hidden="0">
      <x:c r="A450" s="35"/>
      <x:c r="B450" s="35"/>
      <x:c r="C450" s="35"/>
    </x:row>
    <x:row r="451" ht="15" hidden="0">
      <x:c r="A451" s="35"/>
      <x:c r="B451" s="35"/>
      <x:c r="C451" s="35"/>
    </x:row>
    <x:row r="452" ht="15" hidden="0">
      <x:c r="A452" s="35"/>
      <x:c r="B452" s="35"/>
      <x:c r="C452" s="35"/>
    </x:row>
    <x:row r="453" ht="15" hidden="0">
      <x:c r="A453" s="35"/>
      <x:c r="B453" s="35"/>
      <x:c r="C453" s="35"/>
    </x:row>
    <x:row r="454" ht="15" hidden="0">
      <x:c r="A454" s="35"/>
      <x:c r="B454" s="35"/>
      <x:c r="C454" s="35"/>
    </x:row>
    <x:row r="455" ht="15" hidden="0">
      <x:c r="A455" s="35"/>
      <x:c r="B455" s="35"/>
      <x:c r="C455" s="35"/>
    </x:row>
    <x:row r="456" ht="15" hidden="0">
      <x:c r="A456" s="35"/>
      <x:c r="B456" s="35"/>
      <x:c r="C456" s="35"/>
    </x:row>
    <x:row r="457" ht="15" hidden="0">
      <x:c r="A457" s="35"/>
      <x:c r="B457" s="35"/>
      <x:c r="C457" s="35"/>
    </x:row>
    <x:row r="458" ht="15" hidden="0">
      <x:c r="A458" s="35"/>
      <x:c r="B458" s="35"/>
      <x:c r="C458" s="35"/>
    </x:row>
    <x:row r="459" ht="15" hidden="0">
      <x:c r="A459" s="35"/>
      <x:c r="B459" s="35"/>
      <x:c r="C459" s="35"/>
    </x:row>
    <x:row r="460" ht="15" hidden="0">
      <x:c r="A460" s="35"/>
      <x:c r="B460" s="35"/>
      <x:c r="C460" s="35"/>
    </x:row>
    <x:row r="461" ht="15" hidden="0">
      <x:c r="A461" s="35"/>
      <x:c r="B461" s="35"/>
      <x:c r="C461" s="35"/>
    </x:row>
    <x:row r="462" ht="15" hidden="0">
      <x:c r="A462" s="35"/>
      <x:c r="B462" s="35"/>
      <x:c r="C462" s="35"/>
    </x:row>
    <x:row r="463" ht="15" hidden="0">
      <x:c r="A463" s="35"/>
      <x:c r="B463" s="35"/>
      <x:c r="C463" s="35"/>
    </x:row>
    <x:row r="464" ht="15" hidden="0">
      <x:c r="A464" s="35"/>
      <x:c r="B464" s="35"/>
      <x:c r="C464" s="35"/>
    </x:row>
    <x:row r="465" ht="15" hidden="0">
      <x:c r="A465" s="35"/>
      <x:c r="B465" s="35"/>
      <x:c r="C465" s="35"/>
    </x:row>
    <x:row r="466" ht="15" hidden="0">
      <x:c r="A466" s="35"/>
      <x:c r="B466" s="35"/>
      <x:c r="C466" s="35"/>
    </x:row>
    <x:row r="467" ht="15" hidden="0">
      <x:c r="A467" s="35"/>
      <x:c r="B467" s="35"/>
      <x:c r="C467" s="35"/>
    </x:row>
    <x:row r="468" ht="15" hidden="0">
      <x:c r="A468" s="35"/>
      <x:c r="B468" s="35"/>
      <x:c r="C468" s="35"/>
    </x:row>
    <x:row r="469" ht="15" hidden="0">
      <x:c r="A469" s="35"/>
      <x:c r="B469" s="35"/>
      <x:c r="C469" s="35"/>
    </x:row>
    <x:row r="470" ht="15" hidden="0">
      <x:c r="A470" s="35"/>
      <x:c r="B470" s="35"/>
      <x:c r="C470" s="35"/>
    </x:row>
    <x:row r="471" ht="15" hidden="0">
      <x:c r="A471" s="35"/>
      <x:c r="B471" s="35"/>
      <x:c r="C471" s="35"/>
    </x:row>
    <x:row r="472" ht="15" hidden="0">
      <x:c r="A472" s="35"/>
      <x:c r="B472" s="35"/>
      <x:c r="C472" s="35"/>
    </x:row>
    <x:row r="473" ht="15" hidden="0">
      <x:c r="A473" s="35"/>
      <x:c r="B473" s="35"/>
      <x:c r="C473" s="35"/>
    </x:row>
    <x:row r="474" ht="15" hidden="0">
      <x:c r="A474" s="35"/>
      <x:c r="B474" s="35"/>
      <x:c r="C474" s="35"/>
    </x:row>
    <x:row r="475" ht="15" hidden="0">
      <x:c r="A475" s="35"/>
      <x:c r="B475" s="35"/>
      <x:c r="C475" s="35"/>
    </x:row>
    <x:row r="476" ht="15" hidden="0">
      <x:c r="A476" s="35"/>
      <x:c r="B476" s="35"/>
      <x:c r="C476" s="35"/>
    </x:row>
    <x:row r="477" ht="15" hidden="0">
      <x:c r="A477" s="35"/>
      <x:c r="B477" s="35"/>
      <x:c r="C477" s="35"/>
    </x:row>
    <x:row r="478" ht="15" hidden="0">
      <x:c r="A478" s="35"/>
      <x:c r="B478" s="35"/>
      <x:c r="C478" s="35"/>
    </x:row>
    <x:row r="479" ht="15" hidden="0">
      <x:c r="A479" s="35"/>
      <x:c r="B479" s="35"/>
      <x:c r="C479" s="35"/>
    </x:row>
    <x:row r="480" ht="15" hidden="0">
      <x:c r="A480" s="35"/>
      <x:c r="B480" s="35"/>
      <x:c r="C480" s="35"/>
    </x:row>
    <x:row r="481" ht="15" hidden="0">
      <x:c r="A481" s="35"/>
      <x:c r="B481" s="35"/>
      <x:c r="C481" s="35"/>
    </x:row>
    <x:row r="482" ht="15" hidden="0">
      <x:c r="A482" s="35"/>
      <x:c r="B482" s="35"/>
      <x:c r="C482" s="35"/>
    </x:row>
    <x:row r="483" ht="15" hidden="0">
      <x:c r="A483" s="35"/>
      <x:c r="B483" s="35"/>
      <x:c r="C483" s="35"/>
    </x:row>
    <x:row r="484" ht="15" hidden="0">
      <x:c r="A484" s="35"/>
      <x:c r="B484" s="35"/>
      <x:c r="C484" s="35"/>
    </x:row>
    <x:row r="485" ht="15" hidden="0">
      <x:c r="A485" s="35"/>
      <x:c r="B485" s="35"/>
      <x:c r="C485" s="35"/>
    </x:row>
    <x:row r="486" ht="15" hidden="0">
      <x:c r="A486" s="35"/>
      <x:c r="B486" s="35"/>
      <x:c r="C486" s="35"/>
    </x:row>
    <x:row r="487" ht="15" hidden="0">
      <x:c r="A487" s="35"/>
      <x:c r="B487" s="35"/>
      <x:c r="C487" s="35"/>
    </x:row>
    <x:row r="488" ht="15" hidden="0">
      <x:c r="A488" s="35"/>
      <x:c r="B488" s="35"/>
      <x:c r="C488" s="35"/>
    </x:row>
    <x:row r="489" ht="15" hidden="0">
      <x:c r="A489" s="35"/>
      <x:c r="B489" s="35"/>
      <x:c r="C489" s="35"/>
    </x:row>
    <x:row r="490" ht="15" hidden="0">
      <x:c r="A490" s="35"/>
      <x:c r="B490" s="35"/>
      <x:c r="C490" s="35"/>
    </x:row>
    <x:row r="491" ht="15" hidden="0">
      <x:c r="A491" s="35"/>
      <x:c r="B491" s="35"/>
      <x:c r="C491" s="35"/>
    </x:row>
    <x:row r="492" ht="15" hidden="0">
      <x:c r="A492" s="35"/>
      <x:c r="B492" s="35"/>
      <x:c r="C492" s="35"/>
    </x:row>
    <x:row r="493" ht="15" hidden="0">
      <x:c r="A493" s="35"/>
      <x:c r="B493" s="35"/>
      <x:c r="C493" s="35"/>
    </x:row>
    <x:row r="494" ht="15" hidden="0">
      <x:c r="A494" s="35"/>
      <x:c r="B494" s="35"/>
      <x:c r="C494" s="35"/>
    </x:row>
    <x:row r="495" ht="15" hidden="0">
      <x:c r="A495" s="35"/>
      <x:c r="B495" s="35"/>
      <x:c r="C495" s="35"/>
    </x:row>
    <x:row r="496" ht="15" hidden="0">
      <x:c r="A496" s="35"/>
      <x:c r="B496" s="35"/>
      <x:c r="C496" s="35"/>
    </x:row>
    <x:row r="497" ht="15" hidden="0">
      <x:c r="A497" s="35"/>
      <x:c r="B497" s="35"/>
      <x:c r="C497" s="35"/>
    </x:row>
    <x:row r="498" ht="15" hidden="0">
      <x:c r="A498" s="35"/>
      <x:c r="B498" s="35"/>
      <x:c r="C498" s="35"/>
    </x:row>
    <x:row r="499" ht="15" hidden="0">
      <x:c r="A499" s="35"/>
      <x:c r="B499" s="35"/>
      <x:c r="C499" s="35"/>
    </x:row>
    <x:row r="500" ht="15" hidden="0">
      <x:c r="A500" s="35"/>
      <x:c r="B500" s="35"/>
      <x:c r="C500" s="35"/>
    </x:row>
    <x:row r="501" ht="15" hidden="0">
      <x:c r="A501" s="35"/>
      <x:c r="B501" s="35"/>
      <x:c r="C501" s="35"/>
    </x:row>
    <x:row r="502" ht="15" hidden="0">
      <x:c r="A502" s="35"/>
      <x:c r="B502" s="35"/>
      <x:c r="C502" s="35"/>
    </x:row>
    <x:row r="503" ht="15" hidden="0">
      <x:c r="A503" s="35"/>
      <x:c r="B503" s="35"/>
      <x:c r="C503" s="35"/>
    </x:row>
    <x:row r="504" ht="15" hidden="0">
      <x:c r="A504" s="35"/>
      <x:c r="B504" s="35"/>
      <x:c r="C504" s="35"/>
    </x:row>
    <x:row r="505" ht="15" hidden="0">
      <x:c r="A505" s="35"/>
      <x:c r="B505" s="35"/>
      <x:c r="C505" s="35"/>
    </x:row>
    <x:row r="506" ht="15" hidden="0">
      <x:c r="A506" s="35"/>
      <x:c r="B506" s="35"/>
      <x:c r="C506" s="35"/>
    </x:row>
    <x:row r="507" ht="15" hidden="0">
      <x:c r="A507" s="35"/>
      <x:c r="B507" s="35"/>
      <x:c r="C507" s="35"/>
    </x:row>
    <x:row r="508" ht="15" hidden="0">
      <x:c r="A508" s="35"/>
      <x:c r="B508" s="35"/>
      <x:c r="C508" s="35"/>
    </x:row>
    <x:row r="509" ht="15" hidden="0">
      <x:c r="A509" s="35"/>
      <x:c r="B509" s="35"/>
      <x:c r="C509" s="35"/>
    </x:row>
    <x:row r="510" ht="15" hidden="0">
      <x:c r="A510" s="35"/>
      <x:c r="B510" s="35"/>
      <x:c r="C510" s="35"/>
    </x:row>
    <x:row r="511" ht="15" hidden="0">
      <x:c r="A511" s="35"/>
      <x:c r="B511" s="35"/>
      <x:c r="C511" s="35"/>
    </x:row>
    <x:row r="512" ht="15" hidden="0">
      <x:c r="A512" s="35"/>
      <x:c r="B512" s="35"/>
      <x:c r="C512" s="35"/>
    </x:row>
    <x:row r="513" ht="15" hidden="0">
      <x:c r="A513" s="35"/>
      <x:c r="B513" s="35"/>
      <x:c r="C513" s="35"/>
    </x:row>
    <x:row r="514" ht="15" hidden="0">
      <x:c r="A514" s="35"/>
      <x:c r="B514" s="35"/>
      <x:c r="C514" s="35"/>
    </x:row>
    <x:row r="515" ht="15" hidden="0">
      <x:c r="A515" s="35"/>
      <x:c r="B515" s="35"/>
      <x:c r="C515" s="35"/>
    </x:row>
    <x:row r="516" ht="15" hidden="0">
      <x:c r="A516" s="35"/>
      <x:c r="B516" s="35"/>
      <x:c r="C516" s="35"/>
    </x:row>
    <x:row r="517" ht="15" hidden="0">
      <x:c r="A517" s="35"/>
      <x:c r="B517" s="35"/>
      <x:c r="C517" s="35"/>
    </x:row>
    <x:row r="518" ht="15" hidden="0">
      <x:c r="A518" s="35"/>
      <x:c r="B518" s="35"/>
      <x:c r="C518" s="35"/>
    </x:row>
    <x:row r="519" ht="15" hidden="0">
      <x:c r="A519" s="35"/>
      <x:c r="B519" s="35"/>
      <x:c r="C519" s="35"/>
    </x:row>
    <x:row r="520" ht="15" hidden="0">
      <x:c r="A520" s="35"/>
      <x:c r="B520" s="35"/>
      <x:c r="C520" s="35"/>
    </x:row>
    <x:row r="521" ht="15" hidden="0">
      <x:c r="A521" s="35"/>
      <x:c r="B521" s="35"/>
      <x:c r="C521" s="35"/>
    </x:row>
    <x:row r="522" ht="15" hidden="0">
      <x:c r="A522" s="35"/>
      <x:c r="B522" s="35"/>
      <x:c r="C522" s="35"/>
    </x:row>
    <x:row r="523" ht="15" hidden="0">
      <x:c r="A523" s="35"/>
      <x:c r="B523" s="35"/>
      <x:c r="C523" s="35"/>
    </x:row>
    <x:row r="524" ht="15" hidden="0">
      <x:c r="A524" s="35"/>
      <x:c r="B524" s="35"/>
      <x:c r="C524" s="35"/>
    </x:row>
    <x:row r="525" ht="15" hidden="0">
      <x:c r="A525" s="35"/>
      <x:c r="B525" s="35"/>
      <x:c r="C525" s="35"/>
    </x:row>
    <x:row r="526" ht="15" hidden="0">
      <x:c r="A526" s="35"/>
      <x:c r="B526" s="35"/>
      <x:c r="C526" s="35"/>
    </x:row>
    <x:row r="527" ht="15" hidden="0">
      <x:c r="A527" s="35"/>
      <x:c r="B527" s="35"/>
      <x:c r="C527" s="35"/>
    </x:row>
    <x:row r="528" ht="15" hidden="0">
      <x:c r="A528" s="35"/>
      <x:c r="B528" s="35"/>
      <x:c r="C528" s="35"/>
    </x:row>
    <x:row r="529" ht="15" hidden="0">
      <x:c r="A529" s="35"/>
      <x:c r="B529" s="35"/>
      <x:c r="C529" s="35"/>
    </x:row>
    <x:row r="530" ht="15" hidden="0">
      <x:c r="A530" s="35"/>
      <x:c r="B530" s="35"/>
      <x:c r="C530" s="35"/>
    </x:row>
    <x:row r="531" ht="15" hidden="0">
      <x:c r="A531" s="35"/>
      <x:c r="B531" s="35"/>
      <x:c r="C531" s="35"/>
    </x:row>
    <x:row r="532" ht="15" hidden="0">
      <x:c r="A532" s="35"/>
      <x:c r="B532" s="35"/>
      <x:c r="C532" s="35"/>
    </x:row>
    <x:row r="533" ht="15" hidden="0">
      <x:c r="A533" s="35"/>
      <x:c r="B533" s="35"/>
      <x:c r="C533" s="35"/>
    </x:row>
    <x:row r="534" ht="15" hidden="0">
      <x:c r="A534" s="35"/>
      <x:c r="B534" s="35"/>
      <x:c r="C534" s="35"/>
    </x:row>
    <x:row r="535" ht="15" hidden="0">
      <x:c r="A535" s="35"/>
      <x:c r="B535" s="35"/>
      <x:c r="C535" s="35"/>
    </x:row>
    <x:row r="536" ht="15" hidden="0">
      <x:c r="A536" s="35"/>
      <x:c r="B536" s="35"/>
      <x:c r="C536" s="35"/>
    </x:row>
    <x:row r="537" ht="15" hidden="0">
      <x:c r="A537" s="35"/>
      <x:c r="B537" s="35"/>
      <x:c r="C537" s="35"/>
    </x:row>
    <x:row r="538" ht="15" hidden="0">
      <x:c r="A538" s="35"/>
      <x:c r="B538" s="35"/>
      <x:c r="C538" s="35"/>
    </x:row>
    <x:row r="539" ht="15" hidden="0">
      <x:c r="A539" s="35"/>
      <x:c r="B539" s="35"/>
      <x:c r="C539" s="35"/>
    </x:row>
    <x:row r="540" ht="15" hidden="0">
      <x:c r="A540" s="35"/>
      <x:c r="B540" s="35"/>
      <x:c r="C540" s="35"/>
    </x:row>
    <x:row r="541" ht="15" hidden="0">
      <x:c r="A541" s="35"/>
      <x:c r="B541" s="35"/>
      <x:c r="C541" s="35"/>
    </x:row>
    <x:row r="542" ht="15" hidden="0">
      <x:c r="A542" s="35"/>
      <x:c r="B542" s="35"/>
      <x:c r="C542" s="35"/>
    </x:row>
    <x:row r="543" ht="15" hidden="0">
      <x:c r="A543" s="35"/>
      <x:c r="B543" s="35"/>
      <x:c r="C543" s="35"/>
    </x:row>
    <x:row r="544" ht="15" hidden="0">
      <x:c r="A544" s="35"/>
      <x:c r="B544" s="35"/>
      <x:c r="C544" s="35"/>
    </x:row>
    <x:row r="545" ht="15" hidden="0">
      <x:c r="A545" s="35"/>
      <x:c r="B545" s="35"/>
      <x:c r="C545" s="35"/>
    </x:row>
    <x:row r="546" ht="15" hidden="0">
      <x:c r="A546" s="35"/>
      <x:c r="B546" s="35"/>
      <x:c r="C546" s="35"/>
    </x:row>
    <x:row r="547" ht="15" hidden="0">
      <x:c r="A547" s="35"/>
      <x:c r="B547" s="35"/>
      <x:c r="C547" s="35"/>
    </x:row>
    <x:row r="548" ht="15" hidden="0">
      <x:c r="A548" s="35"/>
      <x:c r="B548" s="35"/>
      <x:c r="C548" s="35"/>
    </x:row>
    <x:row r="549" ht="15" hidden="0">
      <x:c r="A549" s="35"/>
      <x:c r="B549" s="35"/>
      <x:c r="C549" s="35"/>
    </x:row>
    <x:row r="550" ht="15" hidden="0">
      <x:c r="A550" s="35"/>
      <x:c r="B550" s="35"/>
      <x:c r="C550" s="35"/>
    </x:row>
    <x:row r="551" ht="15" hidden="0">
      <x:c r="A551" s="35"/>
      <x:c r="B551" s="35"/>
      <x:c r="C551" s="35"/>
    </x:row>
    <x:row r="552" ht="15" hidden="0">
      <x:c r="A552" s="35"/>
      <x:c r="B552" s="35"/>
      <x:c r="C552" s="35"/>
    </x:row>
    <x:row r="553" ht="15" hidden="0">
      <x:c r="A553" s="35"/>
      <x:c r="B553" s="35"/>
      <x:c r="C553" s="35"/>
    </x:row>
    <x:row r="554" ht="15" hidden="0">
      <x:c r="A554" s="35"/>
      <x:c r="B554" s="35"/>
      <x:c r="C554" s="35"/>
    </x:row>
    <x:row r="555" ht="15" hidden="0">
      <x:c r="A555" s="35"/>
      <x:c r="B555" s="35"/>
      <x:c r="C555" s="35"/>
    </x:row>
    <x:row r="556" ht="15" hidden="0">
      <x:c r="A556" s="35"/>
      <x:c r="B556" s="35"/>
      <x:c r="C556" s="35"/>
    </x:row>
    <x:row r="557" ht="15" hidden="0">
      <x:c r="A557" s="35"/>
      <x:c r="B557" s="35"/>
      <x:c r="C557" s="35"/>
    </x:row>
    <x:row r="558" ht="15" hidden="0">
      <x:c r="A558" s="35"/>
      <x:c r="B558" s="35"/>
      <x:c r="C558" s="35"/>
    </x:row>
    <x:row r="559" ht="15" hidden="0">
      <x:c r="A559" s="35"/>
      <x:c r="B559" s="35"/>
      <x:c r="C559" s="35"/>
    </x:row>
    <x:row r="560" ht="15" hidden="0">
      <x:c r="A560" s="35"/>
      <x:c r="B560" s="35"/>
      <x:c r="C560" s="35"/>
    </x:row>
    <x:row r="561" ht="15" hidden="0">
      <x:c r="A561" s="35"/>
      <x:c r="B561" s="35"/>
      <x:c r="C561" s="35"/>
    </x:row>
    <x:row r="562" ht="15" hidden="0">
      <x:c r="A562" s="35"/>
      <x:c r="B562" s="35"/>
      <x:c r="C562" s="35"/>
    </x:row>
    <x:row r="563" ht="15" hidden="0">
      <x:c r="A563" s="35"/>
      <x:c r="B563" s="35"/>
      <x:c r="C563" s="35"/>
    </x:row>
    <x:row r="564" ht="15" hidden="0">
      <x:c r="A564" s="35"/>
      <x:c r="B564" s="35"/>
      <x:c r="C564" s="35"/>
    </x:row>
    <x:row r="565" ht="15" hidden="0">
      <x:c r="A565" s="35"/>
      <x:c r="B565" s="35"/>
      <x:c r="C565" s="35"/>
    </x:row>
    <x:row r="566" ht="15" hidden="0">
      <x:c r="A566" s="35"/>
      <x:c r="B566" s="35"/>
      <x:c r="C566" s="35"/>
    </x:row>
    <x:row r="567" ht="15" hidden="0">
      <x:c r="A567" s="35"/>
      <x:c r="B567" s="35"/>
      <x:c r="C567" s="35"/>
    </x:row>
    <x:row r="568" ht="15" hidden="0">
      <x:c r="A568" s="35"/>
      <x:c r="B568" s="35"/>
      <x:c r="C568" s="35"/>
    </x:row>
    <x:row r="569" ht="15" hidden="0">
      <x:c r="A569" s="35"/>
      <x:c r="B569" s="35"/>
      <x:c r="C569" s="35"/>
    </x:row>
    <x:row r="570" ht="15" hidden="0">
      <x:c r="A570" s="35"/>
      <x:c r="B570" s="35"/>
      <x:c r="C570" s="35"/>
    </x:row>
    <x:row r="571" ht="15" hidden="0">
      <x:c r="A571" s="35"/>
      <x:c r="B571" s="35"/>
      <x:c r="C571" s="35"/>
    </x:row>
    <x:row r="572" ht="15" hidden="0">
      <x:c r="A572" s="35"/>
      <x:c r="B572" s="35"/>
      <x:c r="C572" s="35"/>
    </x:row>
    <x:row r="573" ht="15" hidden="0">
      <x:c r="A573" s="35"/>
      <x:c r="B573" s="35"/>
      <x:c r="C573" s="35"/>
    </x:row>
    <x:row r="574" ht="15" hidden="0">
      <x:c r="A574" s="35"/>
      <x:c r="B574" s="35"/>
      <x:c r="C574" s="35"/>
    </x:row>
    <x:row r="575" ht="15" hidden="0">
      <x:c r="A575" s="35"/>
      <x:c r="B575" s="35"/>
      <x:c r="C575" s="35"/>
    </x:row>
    <x:row r="576" ht="15" hidden="0">
      <x:c r="A576" s="35"/>
      <x:c r="B576" s="35"/>
      <x:c r="C576" s="35"/>
    </x:row>
    <x:row r="577" ht="15" hidden="0">
      <x:c r="A577" s="35"/>
      <x:c r="B577" s="35"/>
      <x:c r="C577" s="35"/>
    </x:row>
    <x:row r="578" ht="15" hidden="0">
      <x:c r="A578" s="35"/>
      <x:c r="B578" s="35"/>
      <x:c r="C578" s="35"/>
    </x:row>
    <x:row r="579" ht="15" hidden="0">
      <x:c r="A579" s="35"/>
      <x:c r="B579" s="35"/>
      <x:c r="C579" s="35"/>
    </x:row>
    <x:row r="580" ht="15" hidden="0">
      <x:c r="A580" s="35"/>
      <x:c r="B580" s="35"/>
      <x:c r="C580" s="35"/>
    </x:row>
    <x:row r="581" ht="15" hidden="0">
      <x:c r="A581" s="35"/>
      <x:c r="B581" s="35"/>
      <x:c r="C581" s="35"/>
    </x:row>
    <x:row r="582" ht="15" hidden="0">
      <x:c r="A582" s="35"/>
      <x:c r="B582" s="35"/>
      <x:c r="C582" s="35"/>
    </x:row>
    <x:row r="583" ht="15" hidden="0">
      <x:c r="A583" s="35"/>
      <x:c r="B583" s="35"/>
      <x:c r="C583" s="35"/>
    </x:row>
    <x:row r="584" ht="15" hidden="0">
      <x:c r="A584" s="35"/>
      <x:c r="B584" s="35"/>
      <x:c r="C584" s="35"/>
    </x:row>
    <x:row r="585" ht="15" hidden="0">
      <x:c r="A585" s="35"/>
      <x:c r="B585" s="35"/>
      <x:c r="C585" s="35"/>
    </x:row>
    <x:row r="586" ht="15" hidden="0">
      <x:c r="A586" s="35"/>
      <x:c r="B586" s="35"/>
      <x:c r="C586" s="35"/>
    </x:row>
    <x:row r="587" ht="15" hidden="0">
      <x:c r="A587" s="35"/>
      <x:c r="B587" s="35"/>
      <x:c r="C587" s="35"/>
    </x:row>
    <x:row r="588" ht="15" hidden="0">
      <x:c r="A588" s="35"/>
      <x:c r="B588" s="35"/>
      <x:c r="C588" s="35"/>
    </x:row>
    <x:row r="589" ht="15" hidden="0">
      <x:c r="A589" s="35"/>
      <x:c r="B589" s="35"/>
      <x:c r="C589" s="35"/>
    </x:row>
    <x:row r="590" ht="15" hidden="0">
      <x:c r="A590" s="35"/>
      <x:c r="B590" s="35"/>
      <x:c r="C590" s="35"/>
    </x:row>
    <x:row r="591" ht="15" hidden="0">
      <x:c r="A591" s="35"/>
      <x:c r="B591" s="35"/>
      <x:c r="C591" s="35"/>
    </x:row>
    <x:row r="592" ht="15" hidden="0">
      <x:c r="A592" s="35"/>
      <x:c r="B592" s="35"/>
      <x:c r="C592" s="35"/>
    </x:row>
    <x:row r="593" ht="15" hidden="0">
      <x:c r="A593" s="35"/>
      <x:c r="B593" s="35"/>
      <x:c r="C593" s="35"/>
    </x:row>
    <x:row r="594" ht="15" hidden="0">
      <x:c r="A594" s="35"/>
      <x:c r="B594" s="35"/>
      <x:c r="C594" s="35"/>
    </x:row>
    <x:row r="595" ht="15" hidden="0">
      <x:c r="A595" s="35"/>
      <x:c r="B595" s="35"/>
      <x:c r="C595" s="35"/>
    </x:row>
    <x:row r="596" ht="15" hidden="0">
      <x:c r="A596" s="35"/>
      <x:c r="B596" s="35"/>
      <x:c r="C596" s="35"/>
    </x:row>
    <x:row r="597" ht="15" hidden="0">
      <x:c r="A597" s="35"/>
      <x:c r="B597" s="35"/>
      <x:c r="C597" s="35"/>
    </x:row>
    <x:row r="598" ht="15" hidden="0">
      <x:c r="A598" s="35"/>
      <x:c r="B598" s="35"/>
      <x:c r="C598" s="35"/>
    </x:row>
    <x:row r="599" ht="15" hidden="0">
      <x:c r="A599" s="35"/>
      <x:c r="B599" s="35"/>
      <x:c r="C599" s="35"/>
    </x:row>
    <x:row r="600" ht="15" hidden="0">
      <x:c r="A600" s="35"/>
      <x:c r="B600" s="35"/>
      <x:c r="C600" s="35"/>
    </x:row>
    <x:row r="601" ht="15" hidden="0">
      <x:c r="A601" s="35"/>
      <x:c r="B601" s="35"/>
      <x:c r="C601" s="35"/>
    </x:row>
    <x:row r="602" ht="15" hidden="0">
      <x:c r="A602" s="35"/>
      <x:c r="B602" s="35"/>
      <x:c r="C602" s="35"/>
    </x:row>
    <x:row r="603" ht="15" hidden="0">
      <x:c r="A603" s="35"/>
      <x:c r="B603" s="35"/>
      <x:c r="C603" s="35"/>
    </x:row>
    <x:row r="604" ht="15" hidden="0">
      <x:c r="A604" s="35"/>
      <x:c r="B604" s="35"/>
      <x:c r="C604" s="35"/>
    </x:row>
    <x:row r="605" ht="15" hidden="0">
      <x:c r="A605" s="35"/>
      <x:c r="B605" s="35"/>
      <x:c r="C605" s="35"/>
    </x:row>
    <x:row r="606" ht="15" hidden="0">
      <x:c r="A606" s="35"/>
      <x:c r="B606" s="35"/>
      <x:c r="C606" s="35"/>
    </x:row>
    <x:row r="607" ht="15" hidden="0">
      <x:c r="A607" s="35"/>
      <x:c r="B607" s="35"/>
      <x:c r="C607" s="35"/>
    </x:row>
    <x:row r="608" ht="15" hidden="0">
      <x:c r="A608" s="35"/>
      <x:c r="B608" s="35"/>
      <x:c r="C608" s="35"/>
    </x:row>
    <x:row r="609" ht="15" hidden="0">
      <x:c r="A609" s="35"/>
      <x:c r="B609" s="35"/>
      <x:c r="C609" s="35"/>
    </x:row>
    <x:row r="610" ht="15" hidden="0">
      <x:c r="A610" s="35"/>
      <x:c r="B610" s="35"/>
      <x:c r="C610" s="35"/>
    </x:row>
    <x:row r="611" ht="15" hidden="0">
      <x:c r="A611" s="35"/>
      <x:c r="B611" s="35"/>
      <x:c r="C611" s="35"/>
    </x:row>
    <x:row r="612" ht="15" hidden="0">
      <x:c r="A612" s="35"/>
      <x:c r="B612" s="35"/>
      <x:c r="C612" s="35"/>
    </x:row>
    <x:row r="613" ht="15" hidden="0">
      <x:c r="A613" s="35"/>
      <x:c r="B613" s="35"/>
      <x:c r="C613" s="35"/>
    </x:row>
    <x:row r="614" ht="15" hidden="0">
      <x:c r="A614" s="35"/>
      <x:c r="B614" s="35"/>
      <x:c r="C614" s="35"/>
    </x:row>
    <x:row r="615" ht="15" hidden="0">
      <x:c r="A615" s="35"/>
      <x:c r="B615" s="35"/>
      <x:c r="C615" s="35"/>
    </x:row>
    <x:row r="616" ht="15" hidden="0">
      <x:c r="A616" s="35"/>
      <x:c r="B616" s="35"/>
      <x:c r="C616" s="35"/>
    </x:row>
    <x:row r="617" ht="15" hidden="0">
      <x:c r="A617" s="35"/>
      <x:c r="B617" s="35"/>
      <x:c r="C617" s="35"/>
    </x:row>
    <x:row r="618" ht="15" hidden="0">
      <x:c r="A618" s="35"/>
      <x:c r="B618" s="35"/>
      <x:c r="C618" s="35"/>
    </x:row>
    <x:row r="619" ht="15" hidden="0">
      <x:c r="A619" s="35"/>
      <x:c r="B619" s="35"/>
      <x:c r="C619" s="35"/>
    </x:row>
    <x:row r="620" ht="15" hidden="0">
      <x:c r="A620" s="35"/>
      <x:c r="B620" s="35"/>
      <x:c r="C620" s="35"/>
    </x:row>
    <x:row r="621" ht="15" hidden="0">
      <x:c r="A621" s="35"/>
      <x:c r="B621" s="35"/>
      <x:c r="C621" s="35"/>
    </x:row>
    <x:row r="622" ht="15" hidden="0">
      <x:c r="A622" s="35"/>
      <x:c r="B622" s="35"/>
      <x:c r="C622" s="35"/>
    </x:row>
    <x:row r="623" ht="15" hidden="0">
      <x:c r="A623" s="35"/>
      <x:c r="B623" s="35"/>
      <x:c r="C623" s="35"/>
    </x:row>
    <x:row r="624" ht="15" hidden="0">
      <x:c r="A624" s="35"/>
      <x:c r="B624" s="35"/>
      <x:c r="C624" s="35"/>
    </x:row>
    <x:row r="625" ht="15" hidden="0">
      <x:c r="A625" s="35"/>
      <x:c r="B625" s="35"/>
      <x:c r="C625" s="35"/>
    </x:row>
    <x:row r="626" ht="15" hidden="0">
      <x:c r="A626" s="35"/>
      <x:c r="B626" s="35"/>
      <x:c r="C626" s="35"/>
    </x:row>
    <x:row r="627" ht="15" hidden="0">
      <x:c r="A627" s="35"/>
      <x:c r="B627" s="35"/>
      <x:c r="C627" s="35"/>
    </x:row>
    <x:row r="628" ht="15" hidden="0">
      <x:c r="A628" s="35"/>
      <x:c r="B628" s="35"/>
      <x:c r="C628" s="35"/>
    </x:row>
    <x:row r="629" ht="15" hidden="0">
      <x:c r="A629" s="35"/>
      <x:c r="B629" s="35"/>
      <x:c r="C629" s="35"/>
    </x:row>
    <x:row r="630" ht="15" hidden="0">
      <x:c r="A630" s="35"/>
      <x:c r="B630" s="35"/>
      <x:c r="C630" s="35"/>
    </x:row>
    <x:row r="631" ht="15" hidden="0">
      <x:c r="A631" s="35"/>
      <x:c r="B631" s="35"/>
      <x:c r="C631" s="35"/>
    </x:row>
    <x:row r="632" ht="15" hidden="0">
      <x:c r="A632" s="35"/>
      <x:c r="B632" s="35"/>
      <x:c r="C632" s="35"/>
    </x:row>
    <x:row r="633" ht="15" hidden="0">
      <x:c r="A633" s="35"/>
      <x:c r="B633" s="35"/>
      <x:c r="C633" s="35"/>
    </x:row>
    <x:row r="634" ht="15" hidden="0">
      <x:c r="A634" s="35"/>
      <x:c r="B634" s="35"/>
      <x:c r="C634" s="35"/>
    </x:row>
    <x:row r="635" ht="15" hidden="0">
      <x:c r="A635" s="35"/>
      <x:c r="B635" s="35"/>
      <x:c r="C635" s="35"/>
    </x:row>
    <x:row r="636" ht="15" hidden="0">
      <x:c r="A636" s="35"/>
      <x:c r="B636" s="35"/>
      <x:c r="C636" s="35"/>
    </x:row>
    <x:row r="637" ht="15" hidden="0">
      <x:c r="A637" s="35"/>
      <x:c r="B637" s="35"/>
      <x:c r="C637" s="35"/>
    </x:row>
    <x:row r="638" ht="15" hidden="0">
      <x:c r="A638" s="35"/>
      <x:c r="B638" s="35"/>
      <x:c r="C638" s="35"/>
    </x:row>
    <x:row r="639" ht="15" hidden="0">
      <x:c r="A639" s="35"/>
      <x:c r="B639" s="35"/>
      <x:c r="C639" s="35"/>
    </x:row>
    <x:row r="640" ht="15" hidden="0">
      <x:c r="A640" s="35"/>
      <x:c r="B640" s="35"/>
      <x:c r="C640" s="35"/>
    </x:row>
    <x:row r="641" ht="15" hidden="0">
      <x:c r="A641" s="35"/>
      <x:c r="B641" s="35"/>
      <x:c r="C641" s="35"/>
    </x:row>
    <x:row r="642" ht="15" hidden="0">
      <x:c r="A642" s="35"/>
      <x:c r="B642" s="35"/>
      <x:c r="C642" s="35"/>
    </x:row>
    <x:row r="643" ht="15" hidden="0">
      <x:c r="A643" s="35"/>
      <x:c r="B643" s="35"/>
      <x:c r="C643" s="35"/>
    </x:row>
    <x:row r="644" ht="15" hidden="0">
      <x:c r="A644" s="35"/>
      <x:c r="B644" s="35"/>
      <x:c r="C644" s="35"/>
    </x:row>
    <x:row r="645" ht="15" hidden="0">
      <x:c r="A645" s="35"/>
      <x:c r="B645" s="35"/>
      <x:c r="C645" s="35"/>
    </x:row>
    <x:row r="646" ht="15" hidden="0">
      <x:c r="A646" s="35"/>
      <x:c r="B646" s="35"/>
      <x:c r="C646" s="35"/>
    </x:row>
    <x:row r="647" ht="15" hidden="0">
      <x:c r="A647" s="35"/>
      <x:c r="B647" s="35"/>
      <x:c r="C647" s="35"/>
    </x:row>
    <x:row r="648" ht="15" hidden="0">
      <x:c r="A648" s="35"/>
      <x:c r="B648" s="35"/>
      <x:c r="C648" s="35"/>
    </x:row>
    <x:row r="649" ht="15" hidden="0">
      <x:c r="A649" s="35"/>
      <x:c r="B649" s="35"/>
      <x:c r="C649" s="35"/>
    </x:row>
    <x:row r="650" ht="15" hidden="0">
      <x:c r="A650" s="35"/>
      <x:c r="B650" s="35"/>
      <x:c r="C650" s="35"/>
    </x:row>
    <x:row r="651" ht="15" hidden="0">
      <x:c r="A651" s="35"/>
      <x:c r="B651" s="35"/>
      <x:c r="C651" s="35"/>
    </x:row>
    <x:row r="652" ht="15" hidden="0">
      <x:c r="A652" s="35"/>
      <x:c r="B652" s="35"/>
      <x:c r="C652" s="35"/>
    </x:row>
    <x:row r="653" ht="15" hidden="0">
      <x:c r="A653" s="35"/>
      <x:c r="B653" s="35"/>
      <x:c r="C653" s="35"/>
    </x:row>
    <x:row r="654" ht="15" hidden="0">
      <x:c r="A654" s="35"/>
      <x:c r="B654" s="35"/>
      <x:c r="C654" s="35"/>
    </x:row>
    <x:row r="655" ht="15" hidden="0">
      <x:c r="A655" s="35"/>
      <x:c r="B655" s="35"/>
      <x:c r="C655" s="35"/>
    </x:row>
    <x:row r="656" ht="15" hidden="0">
      <x:c r="A656" s="35"/>
      <x:c r="B656" s="35"/>
      <x:c r="C656" s="35"/>
    </x:row>
    <x:row r="657" ht="15" hidden="0">
      <x:c r="A657" s="35"/>
      <x:c r="B657" s="35"/>
      <x:c r="C657" s="35"/>
    </x:row>
    <x:row r="658" ht="15" hidden="0">
      <x:c r="A658" s="35"/>
      <x:c r="B658" s="35"/>
      <x:c r="C658" s="35"/>
    </x:row>
    <x:row r="659" ht="15" hidden="0">
      <x:c r="A659" s="35"/>
      <x:c r="B659" s="35"/>
      <x:c r="C659" s="35"/>
    </x:row>
    <x:row r="660" ht="15" hidden="0">
      <x:c r="A660" s="35"/>
      <x:c r="B660" s="35"/>
      <x:c r="C660" s="35"/>
    </x:row>
    <x:row r="661" ht="15" hidden="0">
      <x:c r="A661" s="35"/>
      <x:c r="B661" s="35"/>
      <x:c r="C661" s="35"/>
    </x:row>
    <x:row r="662" ht="15" hidden="0">
      <x:c r="A662" s="35"/>
      <x:c r="B662" s="35"/>
      <x:c r="C662" s="35"/>
    </x:row>
    <x:row r="663" ht="15" hidden="0">
      <x:c r="A663" s="35"/>
      <x:c r="B663" s="35"/>
      <x:c r="C663" s="35"/>
    </x:row>
    <x:row r="664" ht="15" hidden="0">
      <x:c r="A664" s="35"/>
      <x:c r="B664" s="35"/>
      <x:c r="C664" s="35"/>
    </x:row>
    <x:row r="665" ht="15" hidden="0">
      <x:c r="A665" s="35"/>
      <x:c r="B665" s="35"/>
      <x:c r="C665" s="35"/>
    </x:row>
    <x:row r="666" ht="15" hidden="0">
      <x:c r="A666" s="35"/>
      <x:c r="B666" s="35"/>
      <x:c r="C666" s="35"/>
    </x:row>
    <x:row r="667" ht="15" hidden="0">
      <x:c r="A667" s="35"/>
      <x:c r="B667" s="35"/>
      <x:c r="C667" s="35"/>
    </x:row>
    <x:row r="668" ht="15" hidden="0">
      <x:c r="A668" s="35"/>
      <x:c r="B668" s="35"/>
      <x:c r="C668" s="35"/>
    </x:row>
    <x:row r="669" ht="15" hidden="0">
      <x:c r="A669" s="35"/>
      <x:c r="B669" s="35"/>
      <x:c r="C669" s="35"/>
    </x:row>
    <x:row r="670" ht="15" hidden="0">
      <x:c r="A670" s="35"/>
      <x:c r="B670" s="35"/>
      <x:c r="C670" s="35"/>
    </x:row>
    <x:row r="671" ht="15" hidden="0">
      <x:c r="A671" s="35"/>
      <x:c r="B671" s="35"/>
      <x:c r="C671" s="35"/>
    </x:row>
    <x:row r="672" ht="15" hidden="0">
      <x:c r="A672" s="35"/>
      <x:c r="B672" s="35"/>
      <x:c r="C672" s="35"/>
    </x:row>
    <x:row r="673" ht="15" hidden="0">
      <x:c r="A673" s="35"/>
      <x:c r="B673" s="35"/>
      <x:c r="C673" s="35"/>
    </x:row>
    <x:row r="674" ht="15" hidden="0">
      <x:c r="A674" s="35"/>
      <x:c r="B674" s="35"/>
      <x:c r="C674" s="35"/>
    </x:row>
    <x:row r="675" ht="15" hidden="0">
      <x:c r="A675" s="35"/>
      <x:c r="B675" s="35"/>
      <x:c r="C675" s="35"/>
    </x:row>
    <x:row r="676" ht="15" hidden="0">
      <x:c r="A676" s="35"/>
      <x:c r="B676" s="35"/>
      <x:c r="C676" s="35"/>
    </x:row>
    <x:row r="677" ht="15" hidden="0">
      <x:c r="A677" s="35"/>
      <x:c r="B677" s="35"/>
      <x:c r="C677" s="35"/>
    </x:row>
    <x:row r="678" ht="15" hidden="0">
      <x:c r="A678" s="35"/>
      <x:c r="B678" s="35"/>
      <x:c r="C678" s="35"/>
    </x:row>
    <x:row r="679" ht="15" hidden="0">
      <x:c r="A679" s="35"/>
      <x:c r="B679" s="35"/>
      <x:c r="C679" s="35"/>
    </x:row>
    <x:row r="680" ht="15" hidden="0">
      <x:c r="A680" s="35"/>
      <x:c r="B680" s="35"/>
      <x:c r="C680" s="35"/>
    </x:row>
    <x:row r="681" ht="15" hidden="0">
      <x:c r="A681" s="35"/>
      <x:c r="B681" s="35"/>
      <x:c r="C681" s="35"/>
    </x:row>
    <x:row r="682" ht="15" hidden="0">
      <x:c r="A682" s="35"/>
      <x:c r="B682" s="35"/>
      <x:c r="C682" s="35"/>
    </x:row>
    <x:row r="683" ht="15" hidden="0">
      <x:c r="A683" s="35"/>
      <x:c r="B683" s="35"/>
      <x:c r="C683" s="35"/>
    </x:row>
    <x:row r="684" ht="15" hidden="0">
      <x:c r="A684" s="35"/>
      <x:c r="B684" s="35"/>
      <x:c r="C684" s="35"/>
    </x:row>
    <x:row r="685" ht="15" hidden="0">
      <x:c r="A685" s="35"/>
      <x:c r="B685" s="35"/>
      <x:c r="C685" s="35"/>
    </x:row>
    <x:row r="686" ht="15" hidden="0">
      <x:c r="A686" s="35"/>
      <x:c r="B686" s="35"/>
      <x:c r="C686" s="35"/>
    </x:row>
    <x:row r="687" ht="15" hidden="0">
      <x:c r="A687" s="35"/>
      <x:c r="B687" s="35"/>
      <x:c r="C687" s="35"/>
    </x:row>
    <x:row r="688" ht="15" hidden="0">
      <x:c r="A688" s="35"/>
      <x:c r="B688" s="35"/>
      <x:c r="C688" s="35"/>
    </x:row>
    <x:row r="689" ht="15" hidden="0">
      <x:c r="A689" s="35"/>
      <x:c r="B689" s="35"/>
      <x:c r="C689" s="35"/>
    </x:row>
    <x:row r="690" ht="15" hidden="0">
      <x:c r="A690" s="35"/>
      <x:c r="B690" s="35"/>
      <x:c r="C690" s="35"/>
    </x:row>
    <x:row r="691" ht="15" hidden="0">
      <x:c r="A691" s="35"/>
      <x:c r="B691" s="35"/>
      <x:c r="C691" s="35"/>
    </x:row>
    <x:row r="692" ht="15" hidden="0">
      <x:c r="A692" s="35"/>
      <x:c r="B692" s="35"/>
      <x:c r="C692" s="35"/>
    </x:row>
    <x:row r="693" ht="15" hidden="0">
      <x:c r="A693" s="35"/>
      <x:c r="B693" s="35"/>
      <x:c r="C693" s="35"/>
    </x:row>
    <x:row r="694" ht="15" hidden="0">
      <x:c r="A694" s="35"/>
      <x:c r="B694" s="35"/>
      <x:c r="C694" s="35"/>
    </x:row>
    <x:row r="695" ht="15" hidden="0">
      <x:c r="A695" s="35"/>
      <x:c r="B695" s="35"/>
      <x:c r="C695" s="35"/>
    </x:row>
    <x:row r="696" ht="15" hidden="0">
      <x:c r="A696" s="35"/>
      <x:c r="B696" s="35"/>
      <x:c r="C696" s="35"/>
    </x:row>
    <x:row r="697" ht="15" hidden="0">
      <x:c r="A697" s="35"/>
      <x:c r="B697" s="35"/>
      <x:c r="C697" s="35"/>
    </x:row>
    <x:row r="698" ht="15" hidden="0">
      <x:c r="A698" s="35"/>
      <x:c r="B698" s="35"/>
      <x:c r="C698" s="35"/>
    </x:row>
    <x:row r="699" ht="15" hidden="0">
      <x:c r="A699" s="35"/>
      <x:c r="B699" s="35"/>
      <x:c r="C699" s="35"/>
    </x:row>
    <x:row r="700" ht="15" hidden="0">
      <x:c r="A700" s="35"/>
      <x:c r="B700" s="35"/>
      <x:c r="C700" s="35"/>
    </x:row>
    <x:row r="701" ht="15" hidden="0">
      <x:c r="A701" s="35"/>
      <x:c r="B701" s="35"/>
      <x:c r="C701" s="35"/>
    </x:row>
    <x:row r="702" ht="15" hidden="0">
      <x:c r="A702" s="35"/>
      <x:c r="B702" s="35"/>
      <x:c r="C702" s="35"/>
    </x:row>
    <x:row r="703" ht="15" hidden="0">
      <x:c r="A703" s="35"/>
      <x:c r="B703" s="35"/>
      <x:c r="C703" s="35"/>
    </x:row>
    <x:row r="704" ht="15" hidden="0">
      <x:c r="A704" s="35"/>
      <x:c r="B704" s="35"/>
      <x:c r="C704" s="35"/>
    </x:row>
    <x:row r="705" ht="15" hidden="0">
      <x:c r="A705" s="35"/>
      <x:c r="B705" s="35"/>
      <x:c r="C705" s="35"/>
    </x:row>
    <x:row r="706" ht="15" hidden="0">
      <x:c r="A706" s="35"/>
      <x:c r="B706" s="35"/>
      <x:c r="C706" s="35"/>
    </x:row>
    <x:row r="707" ht="15" hidden="0">
      <x:c r="A707" s="35"/>
      <x:c r="B707" s="35"/>
      <x:c r="C707" s="35"/>
    </x:row>
    <x:row r="708" ht="15" hidden="0">
      <x:c r="A708" s="35"/>
      <x:c r="B708" s="35"/>
      <x:c r="C708" s="35"/>
    </x:row>
    <x:row r="709" ht="15" hidden="0">
      <x:c r="A709" s="35"/>
      <x:c r="B709" s="35"/>
      <x:c r="C709" s="35"/>
    </x:row>
    <x:row r="710" ht="15" hidden="0">
      <x:c r="A710" s="35"/>
      <x:c r="B710" s="35"/>
      <x:c r="C710" s="35"/>
    </x:row>
    <x:row r="711" ht="15" hidden="0">
      <x:c r="A711" s="35"/>
      <x:c r="B711" s="35"/>
      <x:c r="C711" s="35"/>
    </x:row>
    <x:row r="712" ht="15" hidden="0">
      <x:c r="A712" s="35"/>
      <x:c r="B712" s="35"/>
      <x:c r="C712" s="35"/>
    </x:row>
    <x:row r="713" ht="15" hidden="0">
      <x:c r="A713" s="35"/>
      <x:c r="B713" s="35"/>
      <x:c r="C713" s="35"/>
    </x:row>
    <x:row r="714" ht="15" hidden="0">
      <x:c r="A714" s="35"/>
      <x:c r="B714" s="35"/>
      <x:c r="C714" s="35"/>
    </x:row>
    <x:row r="715" ht="15" hidden="0">
      <x:c r="A715" s="35"/>
      <x:c r="B715" s="35"/>
      <x:c r="C715" s="35"/>
    </x:row>
    <x:row r="716" ht="15" hidden="0">
      <x:c r="A716" s="35"/>
      <x:c r="B716" s="35"/>
      <x:c r="C716" s="35"/>
    </x:row>
    <x:row r="717" ht="15" hidden="0">
      <x:c r="A717" s="35"/>
      <x:c r="B717" s="35"/>
      <x:c r="C717" s="35"/>
    </x:row>
    <x:row r="718" ht="15" hidden="0">
      <x:c r="A718" s="35"/>
      <x:c r="B718" s="35"/>
      <x:c r="C718" s="35"/>
    </x:row>
    <x:row r="719" ht="15" hidden="0">
      <x:c r="A719" s="35"/>
      <x:c r="B719" s="35"/>
      <x:c r="C719" s="35"/>
    </x:row>
    <x:row r="720" ht="15" hidden="0">
      <x:c r="A720" s="35"/>
      <x:c r="B720" s="35"/>
      <x:c r="C720" s="35"/>
    </x:row>
    <x:row r="721" ht="15" hidden="0">
      <x:c r="A721" s="35"/>
      <x:c r="B721" s="35"/>
      <x:c r="C721" s="35"/>
    </x:row>
    <x:row r="722" ht="15" hidden="0">
      <x:c r="A722" s="35"/>
      <x:c r="B722" s="35"/>
      <x:c r="C722" s="35"/>
    </x:row>
    <x:row r="723" ht="15" hidden="0">
      <x:c r="A723" s="35"/>
      <x:c r="B723" s="35"/>
      <x:c r="C723" s="35"/>
    </x:row>
    <x:row r="724" ht="15" hidden="0">
      <x:c r="A724" s="35"/>
      <x:c r="B724" s="35"/>
      <x:c r="C724" s="35"/>
    </x:row>
    <x:row r="725" ht="15" hidden="0">
      <x:c r="A725" s="35"/>
      <x:c r="B725" s="35"/>
      <x:c r="C725" s="35"/>
    </x:row>
    <x:row r="726" ht="15" hidden="0">
      <x:c r="A726" s="35"/>
      <x:c r="B726" s="35"/>
      <x:c r="C726" s="35"/>
    </x:row>
    <x:row r="727" ht="15" hidden="0">
      <x:c r="A727" s="35"/>
      <x:c r="B727" s="35"/>
      <x:c r="C727" s="35"/>
    </x:row>
    <x:row r="728" ht="15" hidden="0">
      <x:c r="A728" s="35"/>
      <x:c r="B728" s="35"/>
      <x:c r="C728" s="35"/>
    </x:row>
    <x:row r="729" ht="15" hidden="0">
      <x:c r="A729" s="35"/>
      <x:c r="B729" s="35"/>
      <x:c r="C729" s="35"/>
    </x:row>
    <x:row r="730" ht="15" hidden="0">
      <x:c r="A730" s="35"/>
      <x:c r="B730" s="35"/>
      <x:c r="C730" s="35"/>
    </x:row>
    <x:row r="731" ht="15" hidden="0">
      <x:c r="A731" s="35"/>
      <x:c r="B731" s="35"/>
      <x:c r="C731" s="35"/>
    </x:row>
    <x:row r="732" ht="15" hidden="0">
      <x:c r="A732" s="35"/>
      <x:c r="B732" s="35"/>
      <x:c r="C732" s="35"/>
    </x:row>
    <x:row r="733" ht="15" hidden="0">
      <x:c r="A733" s="35"/>
      <x:c r="B733" s="35"/>
      <x:c r="C733" s="35"/>
    </x:row>
    <x:row r="734" ht="15" hidden="0">
      <x:c r="A734" s="35"/>
      <x:c r="B734" s="35"/>
      <x:c r="C734" s="35"/>
    </x:row>
    <x:row r="735" ht="15" hidden="0">
      <x:c r="A735" s="35"/>
      <x:c r="B735" s="35"/>
      <x:c r="C735" s="35"/>
    </x:row>
    <x:row r="736" ht="15" hidden="0">
      <x:c r="A736" s="35"/>
      <x:c r="B736" s="35"/>
      <x:c r="C736" s="35"/>
    </x:row>
    <x:row r="737" ht="15" hidden="0">
      <x:c r="A737" s="35"/>
      <x:c r="B737" s="35"/>
      <x:c r="C737" s="35"/>
    </x:row>
    <x:row r="738" ht="15" hidden="0">
      <x:c r="A738" s="35"/>
      <x:c r="B738" s="35"/>
      <x:c r="C738" s="35"/>
    </x:row>
    <x:row r="739" ht="15" hidden="0">
      <x:c r="A739" s="35"/>
      <x:c r="B739" s="35"/>
      <x:c r="C739" s="35"/>
    </x:row>
    <x:row r="740" ht="15" hidden="0">
      <x:c r="A740" s="35"/>
      <x:c r="B740" s="35"/>
      <x:c r="C740" s="35"/>
    </x:row>
    <x:row r="741" ht="15" hidden="0">
      <x:c r="A741" s="35"/>
      <x:c r="B741" s="35"/>
      <x:c r="C741" s="35"/>
    </x:row>
    <x:row r="742" ht="15" hidden="0">
      <x:c r="A742" s="35"/>
      <x:c r="B742" s="35"/>
      <x:c r="C742" s="35"/>
    </x:row>
    <x:row r="743" ht="15" hidden="0">
      <x:c r="A743" s="35"/>
      <x:c r="B743" s="35"/>
      <x:c r="C743" s="35"/>
    </x:row>
    <x:row r="744" ht="15" hidden="0">
      <x:c r="A744" s="35"/>
      <x:c r="B744" s="35"/>
      <x:c r="C744" s="35"/>
    </x:row>
    <x:row r="745" ht="15" hidden="0">
      <x:c r="A745" s="35"/>
      <x:c r="B745" s="35"/>
      <x:c r="C745" s="35"/>
    </x:row>
    <x:row r="746" ht="15" hidden="0">
      <x:c r="A746" s="35"/>
      <x:c r="B746" s="35"/>
      <x:c r="C746" s="35"/>
    </x:row>
    <x:row r="747" ht="15" hidden="0">
      <x:c r="A747" s="35"/>
      <x:c r="B747" s="35"/>
      <x:c r="C747" s="35"/>
    </x:row>
    <x:row r="748" ht="15" hidden="0">
      <x:c r="A748" s="35"/>
      <x:c r="B748" s="35"/>
      <x:c r="C748" s="35"/>
    </x:row>
    <x:row r="749" ht="15" hidden="0">
      <x:c r="A749" s="35"/>
      <x:c r="B749" s="35"/>
      <x:c r="C749" s="35"/>
    </x:row>
    <x:row r="750" ht="15" hidden="0">
      <x:c r="A750" s="35"/>
      <x:c r="B750" s="35"/>
      <x:c r="C750" s="35"/>
    </x:row>
    <x:row r="751" ht="15" hidden="0">
      <x:c r="A751" s="35"/>
      <x:c r="B751" s="35"/>
      <x:c r="C751" s="35"/>
    </x:row>
    <x:row r="752" ht="15" hidden="0">
      <x:c r="A752" s="35"/>
      <x:c r="B752" s="35"/>
      <x:c r="C752" s="35"/>
    </x:row>
    <x:row r="753" ht="15" hidden="0">
      <x:c r="A753" s="35"/>
      <x:c r="B753" s="35"/>
      <x:c r="C753" s="35"/>
    </x:row>
    <x:row r="754" ht="15" hidden="0">
      <x:c r="A754" s="35"/>
      <x:c r="B754" s="35"/>
      <x:c r="C754" s="35"/>
    </x:row>
    <x:row r="755" ht="15" hidden="0">
      <x:c r="A755" s="35"/>
      <x:c r="B755" s="35"/>
      <x:c r="C755" s="35"/>
    </x:row>
    <x:row r="756" ht="15" hidden="0">
      <x:c r="A756" s="35"/>
      <x:c r="B756" s="35"/>
      <x:c r="C756" s="35"/>
    </x:row>
    <x:row r="757" ht="15" hidden="0">
      <x:c r="A757" s="35"/>
      <x:c r="B757" s="35"/>
      <x:c r="C757" s="35"/>
    </x:row>
    <x:row r="758" ht="15" hidden="0">
      <x:c r="A758" s="35"/>
      <x:c r="B758" s="35"/>
      <x:c r="C758" s="35"/>
    </x:row>
    <x:row r="759" ht="15" hidden="0">
      <x:c r="A759" s="35"/>
      <x:c r="B759" s="35"/>
      <x:c r="C759" s="35"/>
    </x:row>
    <x:row r="760" ht="15" hidden="0">
      <x:c r="A760" s="35"/>
      <x:c r="B760" s="35"/>
      <x:c r="C760" s="35"/>
    </x:row>
    <x:row r="761" ht="15" hidden="0">
      <x:c r="A761" s="35"/>
      <x:c r="B761" s="35"/>
      <x:c r="C761" s="35"/>
    </x:row>
    <x:row r="762" ht="15" hidden="0">
      <x:c r="A762" s="35"/>
      <x:c r="B762" s="35"/>
      <x:c r="C762" s="35"/>
    </x:row>
    <x:row r="763" ht="15" hidden="0">
      <x:c r="A763" s="35"/>
      <x:c r="B763" s="35"/>
      <x:c r="C763" s="35"/>
    </x:row>
    <x:row r="764" ht="15" hidden="0">
      <x:c r="A764" s="35"/>
      <x:c r="B764" s="35"/>
      <x:c r="C764" s="35"/>
    </x:row>
    <x:row r="765" ht="15" hidden="0">
      <x:c r="A765" s="35"/>
      <x:c r="B765" s="35"/>
      <x:c r="C765" s="35"/>
    </x:row>
    <x:row r="766" ht="15" hidden="0">
      <x:c r="A766" s="35"/>
      <x:c r="B766" s="35"/>
      <x:c r="C766" s="35"/>
    </x:row>
    <x:row r="767" ht="15" hidden="0">
      <x:c r="A767" s="35"/>
      <x:c r="B767" s="35"/>
      <x:c r="C767" s="35"/>
    </x:row>
    <x:row r="768" ht="15" hidden="0">
      <x:c r="A768" s="35"/>
      <x:c r="B768" s="35"/>
      <x:c r="C768" s="35"/>
    </x:row>
    <x:row r="769" ht="15" hidden="0">
      <x:c r="A769" s="35"/>
      <x:c r="B769" s="35"/>
      <x:c r="C769" s="35"/>
    </x:row>
    <x:row r="770" ht="15" hidden="0">
      <x:c r="A770" s="35"/>
      <x:c r="B770" s="35"/>
      <x:c r="C770" s="35"/>
    </x:row>
    <x:row r="771" ht="15" hidden="0">
      <x:c r="A771" s="35"/>
      <x:c r="B771" s="35"/>
      <x:c r="C771" s="35"/>
    </x:row>
    <x:row r="772" ht="15" hidden="0">
      <x:c r="A772" s="35"/>
      <x:c r="B772" s="35"/>
      <x:c r="C772" s="35"/>
    </x:row>
    <x:row r="773" ht="15" hidden="0">
      <x:c r="A773" s="35"/>
      <x:c r="B773" s="35"/>
      <x:c r="C773" s="35"/>
    </x:row>
    <x:row r="774" ht="15" hidden="0">
      <x:c r="A774" s="35"/>
      <x:c r="B774" s="35"/>
      <x:c r="C774" s="35"/>
    </x:row>
    <x:row r="775" ht="15" hidden="0">
      <x:c r="A775" s="35"/>
      <x:c r="B775" s="35"/>
      <x:c r="C775" s="35"/>
    </x:row>
    <x:row r="776" ht="15" hidden="0">
      <x:c r="A776" s="35"/>
      <x:c r="B776" s="35"/>
      <x:c r="C776" s="35"/>
    </x:row>
    <x:row r="777" ht="15" hidden="0">
      <x:c r="A777" s="35"/>
      <x:c r="B777" s="35"/>
      <x:c r="C777" s="35"/>
    </x:row>
    <x:row r="778" ht="15" hidden="0">
      <x:c r="A778" s="35"/>
      <x:c r="B778" s="35"/>
      <x:c r="C778" s="35"/>
    </x:row>
    <x:row r="779" ht="15" hidden="0">
      <x:c r="A779" s="35"/>
      <x:c r="B779" s="35"/>
      <x:c r="C779" s="35"/>
    </x:row>
    <x:row r="780" ht="15" hidden="0">
      <x:c r="A780" s="35"/>
      <x:c r="B780" s="35"/>
      <x:c r="C780" s="35"/>
    </x:row>
    <x:row r="781" ht="15" hidden="0">
      <x:c r="A781" s="35"/>
      <x:c r="B781" s="35"/>
      <x:c r="C781" s="35"/>
    </x:row>
    <x:row r="782" ht="15" hidden="0">
      <x:c r="A782" s="35"/>
      <x:c r="B782" s="35"/>
      <x:c r="C782" s="35"/>
    </x:row>
    <x:row r="783" ht="15" hidden="0">
      <x:c r="A783" s="35"/>
      <x:c r="B783" s="35"/>
      <x:c r="C783" s="35"/>
    </x:row>
    <x:row r="784" ht="15" hidden="0">
      <x:c r="A784" s="35"/>
      <x:c r="B784" s="35"/>
      <x:c r="C784" s="35"/>
    </x:row>
    <x:row r="785" ht="15" hidden="0">
      <x:c r="A785" s="35"/>
      <x:c r="B785" s="35"/>
      <x:c r="C785" s="35"/>
    </x:row>
    <x:row r="786" ht="15" hidden="0">
      <x:c r="A786" s="35"/>
      <x:c r="B786" s="35"/>
      <x:c r="C786" s="35"/>
    </x:row>
    <x:row r="787" ht="15" hidden="0">
      <x:c r="A787" s="35"/>
      <x:c r="B787" s="35"/>
      <x:c r="C787" s="35"/>
    </x:row>
    <x:row r="788" ht="15" hidden="0">
      <x:c r="A788" s="35"/>
      <x:c r="B788" s="35"/>
      <x:c r="C788" s="35"/>
    </x:row>
    <x:row r="789" ht="15" hidden="0">
      <x:c r="A789" s="35"/>
      <x:c r="B789" s="35"/>
      <x:c r="C789" s="35"/>
    </x:row>
    <x:row r="790" ht="15" hidden="0">
      <x:c r="A790" s="35"/>
      <x:c r="B790" s="35"/>
      <x:c r="C790" s="35"/>
    </x:row>
    <x:row r="791" ht="15" hidden="0">
      <x:c r="A791" s="35"/>
      <x:c r="B791" s="35"/>
      <x:c r="C791" s="35"/>
    </x:row>
    <x:row r="792" ht="15" hidden="0">
      <x:c r="A792" s="35"/>
      <x:c r="B792" s="35"/>
      <x:c r="C792" s="35"/>
    </x:row>
    <x:row r="793" ht="15" hidden="0">
      <x:c r="A793" s="35"/>
      <x:c r="B793" s="35"/>
      <x:c r="C793" s="35"/>
    </x:row>
    <x:row r="794" ht="15" hidden="0">
      <x:c r="A794" s="35"/>
      <x:c r="B794" s="35"/>
      <x:c r="C794" s="35"/>
    </x:row>
    <x:row r="795" ht="15" hidden="0">
      <x:c r="A795" s="35"/>
      <x:c r="B795" s="35"/>
      <x:c r="C795" s="35"/>
    </x:row>
    <x:row r="796" ht="15" hidden="0">
      <x:c r="A796" s="35"/>
      <x:c r="B796" s="35"/>
      <x:c r="C796" s="35"/>
    </x:row>
    <x:row r="797" ht="15" hidden="0">
      <x:c r="A797" s="35"/>
      <x:c r="B797" s="35"/>
      <x:c r="C797" s="35"/>
    </x:row>
    <x:row r="798" ht="15" hidden="0">
      <x:c r="A798" s="35"/>
      <x:c r="B798" s="35"/>
      <x:c r="C798" s="35"/>
    </x:row>
    <x:row r="799" ht="15" hidden="0">
      <x:c r="A799" s="35"/>
      <x:c r="B799" s="35"/>
      <x:c r="C799" s="35"/>
    </x:row>
    <x:row r="800" ht="15" hidden="0">
      <x:c r="A800" s="35"/>
      <x:c r="B800" s="35"/>
      <x:c r="C800" s="35"/>
    </x:row>
    <x:row r="801" ht="15" hidden="0">
      <x:c r="A801" s="35"/>
      <x:c r="B801" s="35"/>
      <x:c r="C801" s="35"/>
    </x:row>
    <x:row r="802" ht="15" hidden="0">
      <x:c r="A802" s="35"/>
      <x:c r="B802" s="35"/>
      <x:c r="C802" s="35"/>
    </x:row>
    <x:row r="803" ht="15" hidden="0">
      <x:c r="A803" s="35"/>
      <x:c r="B803" s="35"/>
      <x:c r="C803" s="35"/>
    </x:row>
    <x:row r="804" ht="15" hidden="0">
      <x:c r="A804" s="35"/>
      <x:c r="B804" s="35"/>
      <x:c r="C804" s="35"/>
    </x:row>
    <x:row r="805" ht="15" hidden="0">
      <x:c r="A805" s="35"/>
      <x:c r="B805" s="35"/>
      <x:c r="C805" s="35"/>
    </x:row>
    <x:row r="806" ht="15" hidden="0">
      <x:c r="A806" s="35"/>
      <x:c r="B806" s="35"/>
      <x:c r="C806" s="35"/>
    </x:row>
    <x:row r="807" ht="15" hidden="0">
      <x:c r="A807" s="35"/>
      <x:c r="B807" s="35"/>
      <x:c r="C807" s="35"/>
    </x:row>
    <x:row r="808" ht="15" hidden="0">
      <x:c r="A808" s="35"/>
      <x:c r="B808" s="35"/>
      <x:c r="C808" s="35"/>
    </x:row>
    <x:row r="809" ht="15" hidden="0">
      <x:c r="A809" s="35"/>
      <x:c r="B809" s="35"/>
      <x:c r="C809" s="35"/>
    </x:row>
    <x:row r="810" ht="15" hidden="0">
      <x:c r="A810" s="35"/>
      <x:c r="B810" s="35"/>
      <x:c r="C810" s="35"/>
    </x:row>
    <x:row r="811" ht="15" hidden="0">
      <x:c r="A811" s="35"/>
      <x:c r="B811" s="35"/>
      <x:c r="C811" s="35"/>
    </x:row>
    <x:row r="812" ht="15" hidden="0">
      <x:c r="A812" s="35"/>
      <x:c r="B812" s="35"/>
      <x:c r="C812" s="35"/>
    </x:row>
    <x:row r="813" ht="15" hidden="0">
      <x:c r="A813" s="35"/>
      <x:c r="B813" s="35"/>
      <x:c r="C813" s="35"/>
    </x:row>
    <x:row r="814" ht="15" hidden="0">
      <x:c r="A814" s="35"/>
      <x:c r="B814" s="35"/>
      <x:c r="C814" s="35"/>
    </x:row>
    <x:row r="815" ht="15" hidden="0">
      <x:c r="A815" s="35"/>
      <x:c r="B815" s="35"/>
      <x:c r="C815" s="35"/>
    </x:row>
    <x:row r="816" ht="15" hidden="0">
      <x:c r="A816" s="35"/>
      <x:c r="B816" s="35"/>
      <x:c r="C816" s="35"/>
    </x:row>
    <x:row r="817" ht="15" hidden="0">
      <x:c r="A817" s="35"/>
      <x:c r="B817" s="35"/>
      <x:c r="C817" s="35"/>
    </x:row>
    <x:row r="818" ht="15" hidden="0">
      <x:c r="A818" s="35"/>
      <x:c r="B818" s="35"/>
      <x:c r="C818" s="35"/>
    </x:row>
    <x:row r="819" ht="15" hidden="0">
      <x:c r="A819" s="35"/>
      <x:c r="B819" s="35"/>
      <x:c r="C819" s="35"/>
    </x:row>
    <x:row r="820" ht="15" hidden="0">
      <x:c r="A820" s="35"/>
      <x:c r="B820" s="35"/>
      <x:c r="C820" s="35"/>
    </x:row>
    <x:row r="821" ht="15" hidden="0">
      <x:c r="A821" s="35"/>
      <x:c r="B821" s="35"/>
      <x:c r="C821" s="35"/>
    </x:row>
    <x:row r="822" ht="15" hidden="0">
      <x:c r="A822" s="35"/>
      <x:c r="B822" s="35"/>
      <x:c r="C822" s="35"/>
    </x:row>
    <x:row r="823" ht="15" hidden="0">
      <x:c r="A823" s="35"/>
      <x:c r="B823" s="35"/>
      <x:c r="C823" s="35"/>
    </x:row>
    <x:row r="824" ht="15" hidden="0">
      <x:c r="A824" s="35"/>
      <x:c r="B824" s="35"/>
      <x:c r="C824" s="35"/>
    </x:row>
    <x:row r="825" ht="15" hidden="0">
      <x:c r="A825" s="35"/>
      <x:c r="B825" s="35"/>
      <x:c r="C825" s="35"/>
    </x:row>
    <x:row r="826" ht="15" hidden="0">
      <x:c r="A826" s="35"/>
      <x:c r="B826" s="35"/>
      <x:c r="C826" s="35"/>
    </x:row>
    <x:row r="827" ht="15" hidden="0">
      <x:c r="A827" s="35"/>
      <x:c r="B827" s="35"/>
      <x:c r="C827" s="35"/>
    </x:row>
    <x:row r="828" ht="15" hidden="0">
      <x:c r="A828" s="35"/>
      <x:c r="B828" s="35"/>
      <x:c r="C828" s="35"/>
    </x:row>
    <x:row r="829" ht="15" hidden="0">
      <x:c r="A829" s="35"/>
      <x:c r="B829" s="35"/>
      <x:c r="C829" s="35"/>
    </x:row>
    <x:row r="830" ht="15" hidden="0">
      <x:c r="A830" s="35"/>
      <x:c r="B830" s="35"/>
      <x:c r="C830" s="35"/>
    </x:row>
    <x:row r="831" ht="15" hidden="0">
      <x:c r="A831" s="35"/>
      <x:c r="B831" s="35"/>
      <x:c r="C831" s="35"/>
    </x:row>
    <x:row r="832" ht="15" hidden="0">
      <x:c r="A832" s="35"/>
      <x:c r="B832" s="35"/>
      <x:c r="C832" s="35"/>
    </x:row>
    <x:row r="833" ht="15" hidden="0">
      <x:c r="A833" s="35"/>
      <x:c r="B833" s="35"/>
      <x:c r="C833" s="35"/>
    </x:row>
    <x:row r="834" ht="15" hidden="0">
      <x:c r="A834" s="35"/>
      <x:c r="B834" s="35"/>
      <x:c r="C834" s="35"/>
    </x:row>
    <x:row r="835" ht="15" hidden="0">
      <x:c r="A835" s="35"/>
      <x:c r="B835" s="35"/>
      <x:c r="C835" s="35"/>
    </x:row>
    <x:row r="836" ht="15" hidden="0">
      <x:c r="A836" s="35"/>
      <x:c r="B836" s="35"/>
      <x:c r="C836" s="35"/>
    </x:row>
    <x:row r="837" ht="15" hidden="0">
      <x:c r="A837" s="35"/>
      <x:c r="B837" s="35"/>
      <x:c r="C837" s="35"/>
    </x:row>
    <x:row r="838" ht="15" hidden="0">
      <x:c r="A838" s="35"/>
      <x:c r="B838" s="35"/>
      <x:c r="C838" s="35"/>
    </x:row>
    <x:row r="839" ht="15" hidden="0">
      <x:c r="A839" s="35"/>
      <x:c r="B839" s="35"/>
      <x:c r="C839" s="35"/>
    </x:row>
    <x:row r="840" ht="15" hidden="0">
      <x:c r="A840" s="35"/>
      <x:c r="B840" s="35"/>
      <x:c r="C840" s="35"/>
    </x:row>
    <x:row r="841" ht="15" hidden="0">
      <x:c r="A841" s="35"/>
      <x:c r="B841" s="35"/>
      <x:c r="C841" s="35"/>
    </x:row>
    <x:row r="842" ht="15" hidden="0">
      <x:c r="A842" s="35"/>
      <x:c r="B842" s="35"/>
      <x:c r="C842" s="35"/>
    </x:row>
    <x:row r="843" ht="15" hidden="0">
      <x:c r="A843" s="35"/>
      <x:c r="B843" s="35"/>
      <x:c r="C843" s="35"/>
    </x:row>
    <x:row r="844" ht="15" hidden="0">
      <x:c r="A844" s="35"/>
      <x:c r="B844" s="35"/>
      <x:c r="C844" s="35"/>
    </x:row>
    <x:row r="845" ht="15" hidden="0">
      <x:c r="A845" s="35"/>
      <x:c r="B845" s="35"/>
      <x:c r="C845" s="35"/>
    </x:row>
    <x:row r="846" ht="15" hidden="0">
      <x:c r="A846" s="35"/>
      <x:c r="B846" s="35"/>
      <x:c r="C846" s="35"/>
    </x:row>
    <x:row r="847" ht="15" hidden="0">
      <x:c r="A847" s="35"/>
      <x:c r="B847" s="35"/>
      <x:c r="C847" s="35"/>
    </x:row>
    <x:row r="848" ht="15" hidden="0">
      <x:c r="A848" s="35"/>
      <x:c r="B848" s="35"/>
      <x:c r="C848" s="35"/>
    </x:row>
    <x:row r="849" ht="15" hidden="0">
      <x:c r="A849" s="35"/>
      <x:c r="B849" s="35"/>
      <x:c r="C849" s="35"/>
    </x:row>
    <x:row r="850" ht="15" hidden="0">
      <x:c r="A850" s="35"/>
      <x:c r="B850" s="35"/>
      <x:c r="C850" s="35"/>
    </x:row>
    <x:row r="851" ht="15" hidden="0">
      <x:c r="A851" s="35"/>
      <x:c r="B851" s="35"/>
      <x:c r="C851" s="35"/>
    </x:row>
    <x:row r="852" ht="15" hidden="0">
      <x:c r="A852" s="35"/>
      <x:c r="B852" s="35"/>
      <x:c r="C852" s="35"/>
    </x:row>
    <x:row r="853" ht="15" hidden="0">
      <x:c r="A853" s="35"/>
      <x:c r="B853" s="35"/>
      <x:c r="C853" s="35"/>
    </x:row>
    <x:row r="854" ht="15" hidden="0">
      <x:c r="A854" s="35"/>
      <x:c r="B854" s="35"/>
      <x:c r="C854" s="35"/>
    </x:row>
    <x:row r="855" ht="15" hidden="0">
      <x:c r="A855" s="35"/>
      <x:c r="B855" s="35"/>
      <x:c r="C855" s="35"/>
    </x:row>
    <x:row r="856" ht="15" hidden="0">
      <x:c r="A856" s="35"/>
      <x:c r="B856" s="35"/>
      <x:c r="C856" s="35"/>
    </x:row>
    <x:row r="857" ht="15" hidden="0">
      <x:c r="A857" s="35"/>
      <x:c r="B857" s="35"/>
      <x:c r="C857" s="35"/>
    </x:row>
    <x:row r="858" ht="15" hidden="0">
      <x:c r="A858" s="35"/>
      <x:c r="B858" s="35"/>
      <x:c r="C858" s="35"/>
    </x:row>
    <x:row r="859" ht="15" hidden="0">
      <x:c r="A859" s="35"/>
      <x:c r="B859" s="35"/>
      <x:c r="C859" s="35"/>
    </x:row>
    <x:row r="860" ht="15" hidden="0">
      <x:c r="A860" s="35"/>
      <x:c r="B860" s="35"/>
      <x:c r="C860" s="35"/>
    </x:row>
    <x:row r="861" ht="15" hidden="0">
      <x:c r="A861" s="35"/>
      <x:c r="B861" s="35"/>
      <x:c r="C861" s="35"/>
    </x:row>
    <x:row r="862" ht="15" hidden="0">
      <x:c r="A862" s="35"/>
      <x:c r="B862" s="35"/>
      <x:c r="C862" s="35"/>
    </x:row>
    <x:row r="863" ht="15" hidden="0">
      <x:c r="A863" s="35"/>
      <x:c r="B863" s="35"/>
      <x:c r="C863" s="35"/>
    </x:row>
    <x:row r="864" ht="15" hidden="0">
      <x:c r="A864" s="35"/>
      <x:c r="B864" s="35"/>
      <x:c r="C864" s="35"/>
    </x:row>
    <x:row r="865" ht="15" hidden="0">
      <x:c r="A865" s="35"/>
      <x:c r="B865" s="35"/>
      <x:c r="C865" s="35"/>
    </x:row>
    <x:row r="866" ht="15" hidden="0">
      <x:c r="A866" s="35"/>
      <x:c r="B866" s="35"/>
      <x:c r="C866" s="35"/>
    </x:row>
    <x:row r="867" ht="15" hidden="0">
      <x:c r="A867" s="35"/>
      <x:c r="B867" s="35"/>
      <x:c r="C867" s="35"/>
    </x:row>
    <x:row r="868" ht="15" hidden="0">
      <x:c r="A868" s="35"/>
      <x:c r="B868" s="35"/>
      <x:c r="C868" s="35"/>
    </x:row>
    <x:row r="869" ht="15" hidden="0">
      <x:c r="A869" s="35"/>
      <x:c r="B869" s="35"/>
      <x:c r="C869" s="35"/>
    </x:row>
    <x:row r="870" ht="15" hidden="0">
      <x:c r="A870" s="35"/>
      <x:c r="B870" s="35"/>
      <x:c r="C870" s="35"/>
    </x:row>
    <x:row r="871" ht="15" hidden="0">
      <x:c r="A871" s="35"/>
      <x:c r="B871" s="35"/>
      <x:c r="C871" s="35"/>
    </x:row>
    <x:row r="872" ht="15" hidden="0">
      <x:c r="A872" s="35"/>
      <x:c r="B872" s="35"/>
      <x:c r="C872" s="35"/>
    </x:row>
    <x:row r="873" ht="15" hidden="0">
      <x:c r="A873" s="35"/>
      <x:c r="B873" s="35"/>
      <x:c r="C873" s="35"/>
    </x:row>
    <x:row r="874" ht="15" hidden="0">
      <x:c r="A874" s="35"/>
      <x:c r="B874" s="35"/>
      <x:c r="C874" s="35"/>
    </x:row>
    <x:row r="875" ht="15" hidden="0">
      <x:c r="A875" s="35"/>
      <x:c r="B875" s="35"/>
      <x:c r="C875" s="35"/>
    </x:row>
    <x:row r="876" ht="15" hidden="0">
      <x:c r="A876" s="35"/>
      <x:c r="B876" s="35"/>
      <x:c r="C876" s="35"/>
    </x:row>
    <x:row r="877" ht="15" hidden="0">
      <x:c r="A877" s="35"/>
      <x:c r="B877" s="35"/>
      <x:c r="C877" s="35"/>
    </x:row>
    <x:row r="878" ht="15" hidden="0">
      <x:c r="A878" s="35"/>
      <x:c r="B878" s="35"/>
      <x:c r="C878" s="35"/>
    </x:row>
    <x:row r="879" ht="15" hidden="0">
      <x:c r="A879" s="35"/>
      <x:c r="B879" s="35"/>
      <x:c r="C879" s="35"/>
    </x:row>
    <x:row r="880" ht="15" hidden="0">
      <x:c r="A880" s="35"/>
      <x:c r="B880" s="35"/>
      <x:c r="C880" s="35"/>
    </x:row>
    <x:row r="881" ht="15" hidden="0">
      <x:c r="A881" s="35"/>
      <x:c r="B881" s="35"/>
      <x:c r="C881" s="35"/>
    </x:row>
    <x:row r="882" ht="15" hidden="0">
      <x:c r="A882" s="35"/>
      <x:c r="B882" s="35"/>
      <x:c r="C882" s="35"/>
    </x:row>
    <x:row r="883" ht="15" hidden="0">
      <x:c r="A883" s="35"/>
      <x:c r="B883" s="35"/>
      <x:c r="C883" s="35"/>
    </x:row>
    <x:row r="884" ht="15" hidden="0">
      <x:c r="A884" s="35"/>
      <x:c r="B884" s="35"/>
      <x:c r="C884" s="35"/>
    </x:row>
    <x:row r="885" ht="15" hidden="0">
      <x:c r="A885" s="35"/>
      <x:c r="B885" s="35"/>
      <x:c r="C885" s="35"/>
    </x:row>
    <x:row r="886" ht="15" hidden="0">
      <x:c r="A886" s="35"/>
      <x:c r="B886" s="35"/>
      <x:c r="C886" s="35"/>
    </x:row>
    <x:row r="887" ht="15" hidden="0">
      <x:c r="A887" s="35"/>
      <x:c r="B887" s="35"/>
      <x:c r="C887" s="35"/>
    </x:row>
    <x:row r="888" ht="15" hidden="0">
      <x:c r="A888" s="35"/>
      <x:c r="B888" s="35"/>
      <x:c r="C888" s="35"/>
    </x:row>
    <x:row r="889" ht="15" hidden="0">
      <x:c r="A889" s="35"/>
      <x:c r="B889" s="35"/>
      <x:c r="C889" s="35"/>
    </x:row>
    <x:row r="890" ht="15" hidden="0">
      <x:c r="A890" s="35"/>
      <x:c r="B890" s="35"/>
      <x:c r="C890" s="35"/>
    </x:row>
    <x:row r="891" ht="15" hidden="0">
      <x:c r="A891" s="35"/>
      <x:c r="B891" s="35"/>
      <x:c r="C891" s="35"/>
    </x:row>
    <x:row r="892" ht="15" hidden="0">
      <x:c r="A892" s="35"/>
      <x:c r="B892" s="35"/>
      <x:c r="C892" s="35"/>
    </x:row>
    <x:row r="893" ht="15" hidden="0">
      <x:c r="A893" s="35"/>
      <x:c r="B893" s="35"/>
      <x:c r="C893" s="35"/>
    </x:row>
    <x:row r="894" ht="15" hidden="0">
      <x:c r="A894" s="35"/>
      <x:c r="B894" s="35"/>
      <x:c r="C894" s="35"/>
    </x:row>
    <x:row r="895" ht="15" hidden="0">
      <x:c r="A895" s="35"/>
      <x:c r="B895" s="35"/>
      <x:c r="C895" s="35"/>
    </x:row>
    <x:row r="896" ht="15" hidden="0">
      <x:c r="A896" s="35"/>
      <x:c r="B896" s="35"/>
      <x:c r="C896" s="35"/>
    </x:row>
    <x:row r="897" ht="15" hidden="0">
      <x:c r="A897" s="35"/>
      <x:c r="B897" s="35"/>
      <x:c r="C897" s="35"/>
    </x:row>
    <x:row r="898" ht="15" hidden="0">
      <x:c r="A898" s="35"/>
      <x:c r="B898" s="35"/>
      <x:c r="C898" s="35"/>
    </x:row>
    <x:row r="899" ht="15" hidden="0">
      <x:c r="A899" s="35"/>
      <x:c r="B899" s="35"/>
      <x:c r="C899" s="35"/>
    </x:row>
    <x:row r="900" ht="15" hidden="0">
      <x:c r="A900" s="35"/>
      <x:c r="B900" s="35"/>
      <x:c r="C900" s="35"/>
    </x:row>
    <x:row r="901" ht="15" hidden="0">
      <x:c r="A901" s="35"/>
      <x:c r="B901" s="35"/>
      <x:c r="C901" s="35"/>
    </x:row>
    <x:row r="902" ht="15" hidden="0">
      <x:c r="A902" s="35"/>
      <x:c r="B902" s="35"/>
      <x:c r="C902" s="35"/>
    </x:row>
    <x:row r="903" ht="15" hidden="0">
      <x:c r="A903" s="35"/>
      <x:c r="B903" s="35"/>
      <x:c r="C903" s="35"/>
    </x:row>
    <x:row r="904" ht="15" hidden="0">
      <x:c r="A904" s="35"/>
      <x:c r="B904" s="35"/>
      <x:c r="C904" s="35"/>
    </x:row>
    <x:row r="905" ht="15" hidden="0">
      <x:c r="A905" s="35"/>
      <x:c r="B905" s="35"/>
      <x:c r="C905" s="35"/>
    </x:row>
    <x:row r="906" ht="15" hidden="0">
      <x:c r="A906" s="35"/>
      <x:c r="B906" s="35"/>
      <x:c r="C906" s="35"/>
    </x:row>
    <x:row r="907" ht="15" hidden="0">
      <x:c r="A907" s="35"/>
      <x:c r="B907" s="35"/>
      <x:c r="C907" s="35"/>
    </x:row>
    <x:row r="908" ht="15" hidden="0">
      <x:c r="A908" s="35"/>
      <x:c r="B908" s="35"/>
      <x:c r="C908" s="35"/>
    </x:row>
    <x:row r="909" ht="15" hidden="0">
      <x:c r="A909" s="35"/>
      <x:c r="B909" s="35"/>
      <x:c r="C909" s="35"/>
    </x:row>
    <x:row r="910" ht="15" hidden="0">
      <x:c r="A910" s="35"/>
      <x:c r="B910" s="35"/>
      <x:c r="C910" s="35"/>
    </x:row>
    <x:row r="911" ht="15" hidden="0">
      <x:c r="A911" s="35"/>
      <x:c r="B911" s="35"/>
      <x:c r="C911" s="35"/>
    </x:row>
    <x:row r="912" ht="15" hidden="0">
      <x:c r="A912" s="35"/>
      <x:c r="B912" s="35"/>
      <x:c r="C912" s="35"/>
    </x:row>
    <x:row r="913" ht="15" hidden="0">
      <x:c r="A913" s="35"/>
      <x:c r="B913" s="35"/>
      <x:c r="C913" s="35"/>
    </x:row>
    <x:row r="914" ht="15" hidden="0">
      <x:c r="A914" s="35"/>
      <x:c r="B914" s="35"/>
      <x:c r="C914" s="35"/>
    </x:row>
    <x:row r="915" ht="15" hidden="0">
      <x:c r="A915" s="35"/>
      <x:c r="B915" s="35"/>
      <x:c r="C915" s="35"/>
    </x:row>
    <x:row r="916" ht="15" hidden="0">
      <x:c r="A916" s="35"/>
      <x:c r="B916" s="35"/>
      <x:c r="C916" s="35"/>
    </x:row>
    <x:row r="917" ht="15" hidden="0">
      <x:c r="A917" s="35"/>
      <x:c r="B917" s="35"/>
      <x:c r="C917" s="35"/>
    </x:row>
    <x:row r="918" ht="15" hidden="0">
      <x:c r="A918" s="35"/>
      <x:c r="B918" s="35"/>
      <x:c r="C918" s="35"/>
    </x:row>
    <x:row r="919" ht="15" hidden="0">
      <x:c r="A919" s="35"/>
      <x:c r="B919" s="35"/>
      <x:c r="C919" s="35"/>
    </x:row>
    <x:row r="920" ht="15" hidden="0">
      <x:c r="A920" s="35"/>
      <x:c r="B920" s="35"/>
      <x:c r="C920" s="35"/>
    </x:row>
    <x:row r="921" ht="15" hidden="0">
      <x:c r="A921" s="35"/>
      <x:c r="B921" s="35"/>
      <x:c r="C921" s="35"/>
    </x:row>
    <x:row r="922" ht="15" hidden="0">
      <x:c r="A922" s="35"/>
      <x:c r="B922" s="35"/>
      <x:c r="C922" s="35"/>
    </x:row>
    <x:row r="923" ht="15" hidden="0">
      <x:c r="A923" s="35"/>
      <x:c r="B923" s="35"/>
      <x:c r="C923" s="35"/>
    </x:row>
    <x:row r="924" ht="15" hidden="0">
      <x:c r="A924" s="35"/>
      <x:c r="B924" s="35"/>
      <x:c r="C924" s="35"/>
    </x:row>
    <x:row r="925" ht="15" hidden="0">
      <x:c r="A925" s="35"/>
      <x:c r="B925" s="35"/>
      <x:c r="C925" s="35"/>
    </x:row>
    <x:row r="926" ht="15" hidden="0">
      <x:c r="A926" s="35"/>
      <x:c r="B926" s="35"/>
      <x:c r="C926" s="35"/>
    </x:row>
    <x:row r="927" ht="15" hidden="0">
      <x:c r="A927" s="35"/>
      <x:c r="B927" s="35"/>
      <x:c r="C927" s="35"/>
    </x:row>
    <x:row r="928" ht="15" hidden="0">
      <x:c r="A928" s="35"/>
      <x:c r="B928" s="35"/>
      <x:c r="C928" s="35"/>
    </x:row>
    <x:row r="929" ht="15" hidden="0">
      <x:c r="A929" s="35"/>
      <x:c r="B929" s="35"/>
      <x:c r="C929" s="35"/>
    </x:row>
    <x:row r="930" ht="15" hidden="0">
      <x:c r="A930" s="35"/>
      <x:c r="B930" s="35"/>
      <x:c r="C930" s="35"/>
    </x:row>
    <x:row r="931" ht="15" hidden="0">
      <x:c r="A931" s="35"/>
      <x:c r="B931" s="35"/>
      <x:c r="C931" s="35"/>
    </x:row>
    <x:row r="932" ht="15" hidden="0">
      <x:c r="A932" s="35"/>
      <x:c r="B932" s="35"/>
      <x:c r="C932" s="35"/>
    </x:row>
    <x:row r="933" ht="15" hidden="0">
      <x:c r="A933" s="35"/>
      <x:c r="B933" s="35"/>
      <x:c r="C933" s="35"/>
    </x:row>
    <x:row r="934" ht="15" hidden="0">
      <x:c r="A934" s="35"/>
      <x:c r="B934" s="35"/>
      <x:c r="C934" s="35"/>
    </x:row>
    <x:row r="935" ht="15" hidden="0">
      <x:c r="A935" s="35"/>
      <x:c r="B935" s="35"/>
      <x:c r="C935" s="35"/>
    </x:row>
    <x:row r="936" ht="15" hidden="0">
      <x:c r="A936" s="35"/>
      <x:c r="B936" s="35"/>
      <x:c r="C936" s="35"/>
    </x:row>
    <x:row r="937" ht="15" hidden="0">
      <x:c r="A937" s="35"/>
      <x:c r="B937" s="35"/>
      <x:c r="C937" s="35"/>
    </x:row>
    <x:row r="938" ht="15" hidden="0">
      <x:c r="A938" s="35"/>
      <x:c r="B938" s="35"/>
      <x:c r="C938" s="35"/>
    </x:row>
    <x:row r="939" ht="15" hidden="0">
      <x:c r="A939" s="35"/>
      <x:c r="B939" s="35"/>
      <x:c r="C939" s="35"/>
    </x:row>
    <x:row r="940" ht="15" hidden="0">
      <x:c r="A940" s="35"/>
      <x:c r="B940" s="35"/>
      <x:c r="C940" s="35"/>
    </x:row>
    <x:row r="941" ht="15" hidden="0">
      <x:c r="A941" s="35"/>
      <x:c r="B941" s="35"/>
      <x:c r="C941" s="35"/>
    </x:row>
    <x:row r="942" ht="15" hidden="0">
      <x:c r="A942" s="35"/>
      <x:c r="B942" s="35"/>
      <x:c r="C942" s="35"/>
    </x:row>
    <x:row r="943" ht="15" hidden="0">
      <x:c r="A943" s="35"/>
      <x:c r="B943" s="35"/>
      <x:c r="C943" s="35"/>
    </x:row>
    <x:row r="944" ht="15" hidden="0">
      <x:c r="A944" s="35"/>
      <x:c r="B944" s="35"/>
      <x:c r="C944" s="35"/>
    </x:row>
    <x:row r="945" ht="15" hidden="0">
      <x:c r="A945" s="35"/>
      <x:c r="B945" s="35"/>
      <x:c r="C945" s="35"/>
    </x:row>
    <x:row r="946" ht="15" hidden="0">
      <x:c r="A946" s="35"/>
      <x:c r="B946" s="35"/>
      <x:c r="C946" s="35"/>
    </x:row>
    <x:row r="947" ht="15" hidden="0">
      <x:c r="A947" s="35"/>
      <x:c r="B947" s="35"/>
      <x:c r="C947" s="35"/>
    </x:row>
    <x:row r="948" ht="15" hidden="0">
      <x:c r="A948" s="35"/>
      <x:c r="B948" s="35"/>
      <x:c r="C948" s="35"/>
    </x:row>
    <x:row r="949" ht="15" hidden="0">
      <x:c r="A949" s="35"/>
      <x:c r="B949" s="35"/>
      <x:c r="C949" s="35"/>
    </x:row>
    <x:row r="950" ht="15" hidden="0">
      <x:c r="A950" s="35"/>
      <x:c r="B950" s="35"/>
      <x:c r="C950" s="35"/>
    </x:row>
    <x:row r="951" ht="15" hidden="0">
      <x:c r="A951" s="35"/>
      <x:c r="B951" s="35"/>
      <x:c r="C951" s="35"/>
    </x:row>
    <x:row r="952" ht="15" hidden="0">
      <x:c r="A952" s="35"/>
      <x:c r="B952" s="35"/>
      <x:c r="C952" s="35"/>
    </x:row>
    <x:row r="953" ht="15" hidden="0">
      <x:c r="A953" s="35"/>
      <x:c r="B953" s="35"/>
      <x:c r="C953" s="35"/>
    </x:row>
    <x:row r="954" ht="15" hidden="0">
      <x:c r="A954" s="35"/>
      <x:c r="B954" s="35"/>
      <x:c r="C954" s="35"/>
    </x:row>
    <x:row r="955" ht="15" hidden="0">
      <x:c r="A955" s="35"/>
      <x:c r="B955" s="35"/>
      <x:c r="C955" s="35"/>
    </x:row>
    <x:row r="956" ht="15" hidden="0">
      <x:c r="A956" s="35"/>
      <x:c r="B956" s="35"/>
      <x:c r="C956" s="35"/>
    </x:row>
    <x:row r="957" ht="15" hidden="0">
      <x:c r="A957" s="35"/>
      <x:c r="B957" s="35"/>
      <x:c r="C957" s="35"/>
    </x:row>
    <x:row r="958" ht="15" hidden="0">
      <x:c r="A958" s="35"/>
      <x:c r="B958" s="35"/>
      <x:c r="C958" s="35"/>
    </x:row>
    <x:row r="959" ht="15" hidden="0">
      <x:c r="A959" s="35"/>
      <x:c r="B959" s="35"/>
      <x:c r="C959" s="35"/>
    </x:row>
    <x:row r="960" ht="15" hidden="0">
      <x:c r="A960" s="35"/>
      <x:c r="B960" s="35"/>
      <x:c r="C960" s="35"/>
    </x:row>
    <x:row r="961" ht="15" hidden="0">
      <x:c r="A961" s="35"/>
      <x:c r="B961" s="35"/>
      <x:c r="C961" s="35"/>
    </x:row>
    <x:row r="962" ht="15" hidden="0">
      <x:c r="A962" s="35"/>
      <x:c r="B962" s="35"/>
      <x:c r="C962" s="35"/>
    </x:row>
    <x:row r="963" ht="15" hidden="0">
      <x:c r="A963" s="35"/>
      <x:c r="B963" s="35"/>
      <x:c r="C963" s="35"/>
    </x:row>
    <x:row r="964" ht="15" hidden="0">
      <x:c r="A964" s="35"/>
      <x:c r="B964" s="35"/>
      <x:c r="C964" s="35"/>
    </x:row>
    <x:row r="965" ht="15" hidden="0">
      <x:c r="A965" s="35"/>
      <x:c r="B965" s="35"/>
      <x:c r="C965" s="35"/>
    </x:row>
    <x:row r="966" ht="15" hidden="0">
      <x:c r="A966" s="35"/>
      <x:c r="B966" s="35"/>
      <x:c r="C966" s="35"/>
    </x:row>
    <x:row r="967" ht="15" hidden="0">
      <x:c r="A967" s="35"/>
      <x:c r="B967" s="35"/>
      <x:c r="C967" s="35"/>
    </x:row>
    <x:row r="968" ht="15" hidden="0">
      <x:c r="A968" s="35"/>
      <x:c r="B968" s="35"/>
      <x:c r="C968" s="35"/>
    </x:row>
    <x:row r="969" ht="15" hidden="0">
      <x:c r="A969" s="35"/>
      <x:c r="B969" s="35"/>
      <x:c r="C969" s="35"/>
    </x:row>
    <x:row r="970" ht="15" hidden="0">
      <x:c r="A970" s="35"/>
      <x:c r="B970" s="35"/>
      <x:c r="C970" s="35"/>
    </x:row>
    <x:row r="971" ht="15" hidden="0">
      <x:c r="A971" s="35"/>
      <x:c r="B971" s="35"/>
      <x:c r="C971" s="35"/>
    </x:row>
    <x:row r="972" ht="15" hidden="0">
      <x:c r="A972" s="35"/>
      <x:c r="B972" s="35"/>
      <x:c r="C972" s="35"/>
    </x:row>
    <x:row r="973" ht="15" hidden="0">
      <x:c r="A973" s="35"/>
      <x:c r="B973" s="35"/>
      <x:c r="C973" s="35"/>
    </x:row>
    <x:row r="974" ht="15" hidden="0">
      <x:c r="A974" s="35"/>
      <x:c r="B974" s="35"/>
      <x:c r="C974" s="35"/>
    </x:row>
    <x:row r="975" ht="15" hidden="0">
      <x:c r="A975" s="35"/>
      <x:c r="B975" s="35"/>
      <x:c r="C975" s="35"/>
    </x:row>
    <x:row r="976" ht="15" hidden="0">
      <x:c r="A976" s="35"/>
      <x:c r="B976" s="35"/>
      <x:c r="C976" s="35"/>
    </x:row>
    <x:row r="977" ht="15" hidden="0">
      <x:c r="A977" s="35"/>
      <x:c r="B977" s="35"/>
      <x:c r="C977" s="35"/>
    </x:row>
    <x:row r="978" ht="15" hidden="0">
      <x:c r="A978" s="35"/>
      <x:c r="B978" s="35"/>
      <x:c r="C978" s="35"/>
    </x:row>
    <x:row r="979" ht="15" hidden="0">
      <x:c r="A979" s="35"/>
      <x:c r="B979" s="35"/>
      <x:c r="C979" s="35"/>
    </x:row>
    <x:row r="980" ht="15" hidden="0">
      <x:c r="A980" s="35"/>
      <x:c r="B980" s="35"/>
      <x:c r="C980" s="35"/>
    </x:row>
    <x:row r="981" ht="15" hidden="0">
      <x:c r="A981" s="35"/>
      <x:c r="B981" s="35"/>
      <x:c r="C981" s="35"/>
    </x:row>
    <x:row r="982" ht="15" hidden="0">
      <x:c r="A982" s="35"/>
      <x:c r="B982" s="35"/>
      <x:c r="C982" s="35"/>
    </x:row>
    <x:row r="983" ht="15" hidden="0">
      <x:c r="A983" s="35"/>
      <x:c r="B983" s="35"/>
      <x:c r="C983" s="35"/>
    </x:row>
    <x:row r="984" ht="15" hidden="0">
      <x:c r="A984" s="35"/>
      <x:c r="B984" s="35"/>
      <x:c r="C984" s="35"/>
    </x:row>
    <x:row r="985" ht="15" hidden="0">
      <x:c r="A985" s="35"/>
      <x:c r="B985" s="35"/>
      <x:c r="C985" s="35"/>
    </x:row>
    <x:row r="986" ht="15" hidden="0">
      <x:c r="A986" s="35"/>
      <x:c r="B986" s="35"/>
      <x:c r="C986" s="35"/>
    </x:row>
    <x:row r="987" ht="15" hidden="0">
      <x:c r="A987" s="35"/>
      <x:c r="B987" s="35"/>
      <x:c r="C987" s="35"/>
    </x:row>
    <x:row r="988" ht="15" hidden="0">
      <x:c r="A988" s="35"/>
      <x:c r="B988" s="35"/>
      <x:c r="C988" s="35"/>
    </x:row>
    <x:row r="989" ht="15" hidden="0">
      <x:c r="A989" s="35"/>
      <x:c r="B989" s="35"/>
      <x:c r="C989" s="35"/>
    </x:row>
    <x:row r="990" ht="15" hidden="0">
      <x:c r="A990" s="35"/>
      <x:c r="B990" s="35"/>
      <x:c r="C990" s="35"/>
    </x:row>
    <x:row r="991" ht="15" hidden="0">
      <x:c r="A991" s="35"/>
      <x:c r="B991" s="35"/>
      <x:c r="C991" s="35"/>
    </x:row>
    <x:row r="992" ht="15" hidden="0">
      <x:c r="A992" s="35"/>
      <x:c r="B992" s="35"/>
      <x:c r="C992" s="35"/>
    </x:row>
    <x:row r="993" ht="15" hidden="0">
      <x:c r="A993" s="35"/>
      <x:c r="B993" s="35"/>
      <x:c r="C993" s="35"/>
    </x:row>
    <x:row r="994" ht="15" hidden="0">
      <x:c r="A994" s="35"/>
      <x:c r="B994" s="35"/>
      <x:c r="C994" s="35"/>
    </x:row>
    <x:row r="995" ht="15" hidden="0">
      <x:c r="A995" s="35"/>
      <x:c r="B995" s="35"/>
      <x:c r="C995" s="35"/>
    </x:row>
    <x:row r="996" ht="15" hidden="0">
      <x:c r="A996" s="35"/>
      <x:c r="B996" s="35"/>
      <x:c r="C996" s="35"/>
    </x:row>
    <x:row r="997" ht="15" hidden="0">
      <x:c r="A997" s="35"/>
      <x:c r="B997" s="35"/>
      <x:c r="C997" s="35"/>
    </x:row>
    <x:row r="998" ht="15" hidden="0">
      <x:c r="A998" s="35"/>
      <x:c r="B998" s="35"/>
      <x:c r="C998" s="35"/>
    </x:row>
    <x:row r="999" ht="15" hidden="0">
      <x:c r="A999" s="35"/>
      <x:c r="B999" s="35"/>
      <x:c r="C999" s="35"/>
    </x:row>
    <x:row r="1000" ht="15" hidden="0">
      <x:c r="A1000" s="35"/>
      <x:c r="B1000" s="35"/>
      <x:c r="C1000" s="35"/>
    </x:row>
    <x:row r="1001" ht="15" hidden="0">
      <x:c r="A1001" s="35"/>
      <x:c r="B1001" s="35"/>
      <x:c r="C1001" s="35"/>
    </x:row>
    <x:row r="1002" ht="15" hidden="0">
      <x:c r="A1002" s="35"/>
      <x:c r="B1002" s="35"/>
      <x:c r="C1002" s="35"/>
    </x:row>
    <x:row r="1003" ht="15" hidden="0">
      <x:c r="A1003" s="35"/>
      <x:c r="B1003" s="35"/>
      <x:c r="C1003" s="35"/>
    </x:row>
    <x:row r="1004" ht="15" hidden="0">
      <x:c r="A1004" s="35"/>
      <x:c r="B1004" s="35"/>
      <x:c r="C1004" s="35"/>
    </x:row>
    <x:row r="1005" ht="15" hidden="0">
      <x:c r="A1005" s="35"/>
      <x:c r="B1005" s="35"/>
      <x:c r="C1005" s="35"/>
    </x:row>
    <x:row r="1006" ht="15" hidden="0">
      <x:c r="A1006" s="35"/>
      <x:c r="B1006" s="35"/>
      <x:c r="C1006" s="35"/>
    </x:row>
    <x:row r="1007" ht="15" hidden="0">
      <x:c r="A1007" s="35"/>
      <x:c r="B1007" s="35"/>
      <x:c r="C1007" s="35"/>
    </x:row>
    <x:row r="1008" ht="15" hidden="0">
      <x:c r="A1008" s="35"/>
      <x:c r="B1008" s="35"/>
      <x:c r="C1008" s="35"/>
    </x:row>
    <x:row r="1009" ht="15" hidden="0">
      <x:c r="A1009" s="35"/>
      <x:c r="B1009" s="35"/>
      <x:c r="C1009" s="35"/>
    </x:row>
    <x:row r="1010" ht="15" hidden="0">
      <x:c r="A1010" s="35"/>
      <x:c r="B1010" s="35"/>
      <x:c r="C1010" s="35"/>
    </x:row>
    <x:row r="1011" ht="15" hidden="0">
      <x:c r="A1011" s="35"/>
      <x:c r="B1011" s="35"/>
      <x:c r="C1011" s="35"/>
    </x:row>
    <x:row r="1012" ht="15" hidden="0">
      <x:c r="A1012" s="35"/>
      <x:c r="B1012" s="35"/>
      <x:c r="C1012" s="35"/>
    </x:row>
    <x:row r="1013" ht="15" hidden="0">
      <x:c r="A1013" s="35"/>
      <x:c r="B1013" s="35"/>
      <x:c r="C1013" s="35"/>
    </x:row>
    <x:row r="1014" ht="15" hidden="0">
      <x:c r="A1014" s="35"/>
      <x:c r="B1014" s="35"/>
      <x:c r="C1014" s="35"/>
    </x:row>
    <x:row r="1015" ht="15" hidden="0">
      <x:c r="A1015" s="35"/>
      <x:c r="B1015" s="35"/>
      <x:c r="C1015" s="35"/>
    </x:row>
    <x:row r="1016" ht="15" hidden="0">
      <x:c r="A1016" s="35"/>
      <x:c r="B1016" s="35"/>
      <x:c r="C1016" s="35"/>
    </x:row>
    <x:row r="1017" ht="15" hidden="0">
      <x:c r="A1017" s="35"/>
      <x:c r="B1017" s="35"/>
      <x:c r="C1017" s="35"/>
    </x:row>
    <x:row r="1018" ht="15" hidden="0">
      <x:c r="A1018" s="35"/>
      <x:c r="B1018" s="35"/>
      <x:c r="C1018" s="35"/>
    </x:row>
    <x:row r="1019" ht="15" hidden="0">
      <x:c r="A1019" s="35"/>
      <x:c r="B1019" s="35"/>
      <x:c r="C1019" s="35"/>
    </x:row>
    <x:row r="1020" ht="15" hidden="0">
      <x:c r="A1020" s="35"/>
      <x:c r="B1020" s="35"/>
      <x:c r="C1020" s="35"/>
    </x:row>
    <x:row r="1021" ht="15" hidden="0">
      <x:c r="A1021" s="35"/>
      <x:c r="B1021" s="35"/>
      <x:c r="C1021" s="35"/>
    </x:row>
    <x:row r="1022" ht="15" hidden="0">
      <x:c r="A1022" s="35"/>
      <x:c r="B1022" s="35"/>
      <x:c r="C1022" s="35"/>
    </x:row>
    <x:row r="1023" ht="15" hidden="0">
      <x:c r="A1023" s="35"/>
      <x:c r="B1023" s="35"/>
      <x:c r="C1023" s="35"/>
    </x:row>
    <x:row r="1024" ht="15" hidden="0">
      <x:c r="A1024" s="35"/>
      <x:c r="B1024" s="35"/>
      <x:c r="C1024" s="35"/>
    </x:row>
    <x:row r="1025" ht="15" hidden="0">
      <x:c r="A1025" s="35"/>
      <x:c r="B1025" s="35"/>
      <x:c r="C1025" s="35"/>
    </x:row>
    <x:row r="1026" ht="15" hidden="0">
      <x:c r="A1026" s="35"/>
      <x:c r="B1026" s="35"/>
      <x:c r="C1026" s="35"/>
    </x:row>
    <x:row r="1027" ht="15" hidden="0">
      <x:c r="A1027" s="35"/>
      <x:c r="B1027" s="35"/>
      <x:c r="C1027" s="35"/>
    </x:row>
    <x:row r="1028" ht="15" hidden="0">
      <x:c r="A1028" s="35"/>
      <x:c r="B1028" s="35"/>
      <x:c r="C1028" s="35"/>
    </x:row>
    <x:row r="1029" ht="15" hidden="0">
      <x:c r="A1029" s="35"/>
      <x:c r="B1029" s="35"/>
      <x:c r="C1029" s="35"/>
    </x:row>
    <x:row r="1030" ht="15" hidden="0">
      <x:c r="A1030" s="35"/>
      <x:c r="B1030" s="35"/>
      <x:c r="C1030" s="35"/>
    </x:row>
    <x:row r="1031" ht="15" hidden="0">
      <x:c r="A1031" s="35"/>
      <x:c r="B1031" s="35"/>
      <x:c r="C1031" s="35"/>
    </x:row>
    <x:row r="1032" ht="15" hidden="0">
      <x:c r="A1032" s="35"/>
      <x:c r="B1032" s="35"/>
      <x:c r="C1032" s="35"/>
    </x:row>
    <x:row r="1033" ht="15" hidden="0">
      <x:c r="A1033" s="35"/>
      <x:c r="B1033" s="35"/>
      <x:c r="C1033" s="35"/>
    </x:row>
    <x:row r="1034" ht="15" hidden="0">
      <x:c r="A1034" s="35"/>
      <x:c r="B1034" s="35"/>
      <x:c r="C1034" s="35"/>
    </x:row>
    <x:row r="1035" ht="15" hidden="0">
      <x:c r="A1035" s="35"/>
      <x:c r="B1035" s="35"/>
      <x:c r="C1035" s="35"/>
    </x:row>
    <x:row r="1036" ht="15" hidden="0">
      <x:c r="A1036" s="35"/>
      <x:c r="B1036" s="35"/>
      <x:c r="C1036" s="35"/>
    </x:row>
    <x:row r="1037" ht="15" hidden="0">
      <x:c r="A1037" s="35"/>
      <x:c r="B1037" s="35"/>
      <x:c r="C1037" s="35"/>
    </x:row>
    <x:row r="1038" ht="15" hidden="0">
      <x:c r="A1038" s="35"/>
      <x:c r="B1038" s="35"/>
      <x:c r="C1038" s="35"/>
    </x:row>
    <x:row r="1039" ht="15" hidden="0">
      <x:c r="A1039" s="35"/>
      <x:c r="B1039" s="35"/>
      <x:c r="C1039" s="35"/>
    </x:row>
    <x:row r="1040" ht="15" hidden="0">
      <x:c r="A1040" s="35"/>
      <x:c r="B1040" s="35"/>
      <x:c r="C1040" s="35"/>
    </x:row>
    <x:row r="1041" ht="15" hidden="0">
      <x:c r="A1041" s="35"/>
      <x:c r="B1041" s="35"/>
      <x:c r="C1041" s="35"/>
    </x:row>
    <x:row r="1042" ht="15" hidden="0">
      <x:c r="A1042" s="35"/>
      <x:c r="B1042" s="35"/>
      <x:c r="C1042" s="35"/>
    </x:row>
    <x:row r="1043" ht="15" hidden="0">
      <x:c r="A1043" s="35"/>
      <x:c r="B1043" s="35"/>
      <x:c r="C1043" s="35"/>
    </x:row>
    <x:row r="1044" ht="15" hidden="0">
      <x:c r="A1044" s="35"/>
      <x:c r="B1044" s="35"/>
      <x:c r="C1044" s="35"/>
    </x:row>
    <x:row r="1045" ht="15" hidden="0">
      <x:c r="A1045" s="35"/>
      <x:c r="B1045" s="35"/>
      <x:c r="C1045" s="35"/>
    </x:row>
    <x:row r="1046" ht="15" hidden="0">
      <x:c r="A1046" s="35"/>
      <x:c r="B1046" s="35"/>
      <x:c r="C1046" s="35"/>
    </x:row>
    <x:row r="1047" ht="15" hidden="0">
      <x:c r="A1047" s="35"/>
      <x:c r="B1047" s="35"/>
      <x:c r="C1047" s="35"/>
    </x:row>
    <x:row r="1048" ht="15" hidden="0">
      <x:c r="A1048" s="35"/>
      <x:c r="B1048" s="35"/>
      <x:c r="C1048" s="35"/>
    </x:row>
    <x:row r="1049" ht="15" hidden="0">
      <x:c r="A1049" s="35"/>
      <x:c r="B1049" s="35"/>
      <x:c r="C1049" s="35"/>
    </x:row>
    <x:row r="1050" ht="15" hidden="0">
      <x:c r="A1050" s="35"/>
      <x:c r="B1050" s="35"/>
      <x:c r="C1050" s="35"/>
    </x:row>
    <x:row r="1051" ht="15" hidden="0">
      <x:c r="A1051" s="35"/>
      <x:c r="B1051" s="35"/>
      <x:c r="C1051" s="35"/>
    </x:row>
    <x:row r="1052" ht="15" hidden="0">
      <x:c r="A1052" s="35"/>
      <x:c r="B1052" s="35"/>
      <x:c r="C1052" s="35"/>
    </x:row>
    <x:row r="1053" ht="15" hidden="0">
      <x:c r="A1053" s="35"/>
      <x:c r="B1053" s="35"/>
      <x:c r="C1053" s="35"/>
    </x:row>
    <x:row r="1054" ht="15" hidden="0">
      <x:c r="A1054" s="35"/>
      <x:c r="B1054" s="35"/>
      <x:c r="C1054" s="35"/>
    </x:row>
    <x:row r="1055" ht="15" hidden="0">
      <x:c r="A1055" s="35"/>
      <x:c r="B1055" s="35"/>
      <x:c r="C1055" s="35"/>
    </x:row>
    <x:row r="1056" ht="15" hidden="0">
      <x:c r="A1056" s="35"/>
      <x:c r="B1056" s="35"/>
      <x:c r="C1056" s="35"/>
    </x:row>
    <x:row r="1057" ht="15" hidden="0">
      <x:c r="A1057" s="35"/>
      <x:c r="B1057" s="35"/>
      <x:c r="C1057" s="35"/>
    </x:row>
    <x:row r="1058" ht="15" hidden="0">
      <x:c r="A1058" s="35"/>
      <x:c r="B1058" s="35"/>
      <x:c r="C1058" s="35"/>
    </x:row>
    <x:row r="1059" ht="15" hidden="0">
      <x:c r="A1059" s="35"/>
      <x:c r="B1059" s="35"/>
      <x:c r="C1059" s="35"/>
    </x:row>
    <x:row r="1060" ht="15" hidden="0">
      <x:c r="A1060" s="35"/>
      <x:c r="B1060" s="35"/>
      <x:c r="C1060" s="35"/>
    </x:row>
    <x:row r="1061" ht="15" hidden="0">
      <x:c r="A1061" s="35"/>
      <x:c r="B1061" s="35"/>
      <x:c r="C1061" s="35"/>
    </x:row>
    <x:row r="1062" ht="15" hidden="0">
      <x:c r="A1062" s="35"/>
      <x:c r="B1062" s="35"/>
      <x:c r="C1062" s="35"/>
    </x:row>
    <x:row r="1063" ht="15" hidden="0">
      <x:c r="A1063" s="35"/>
      <x:c r="B1063" s="35"/>
      <x:c r="C1063" s="35"/>
    </x:row>
    <x:row r="1064" ht="15" hidden="0">
      <x:c r="A1064" s="35"/>
      <x:c r="B1064" s="35"/>
      <x:c r="C1064" s="35"/>
    </x:row>
    <x:row r="1065" ht="15" hidden="0">
      <x:c r="A1065" s="35"/>
      <x:c r="B1065" s="35"/>
      <x:c r="C1065" s="35"/>
    </x:row>
    <x:row r="1066" ht="15" hidden="0">
      <x:c r="A1066" s="35"/>
      <x:c r="B1066" s="35"/>
      <x:c r="C1066" s="35"/>
    </x:row>
    <x:row r="1067" ht="15" hidden="0">
      <x:c r="A1067" s="35"/>
      <x:c r="B1067" s="35"/>
      <x:c r="C1067" s="35"/>
    </x:row>
    <x:row r="1068" ht="15" hidden="0">
      <x:c r="A1068" s="35"/>
      <x:c r="B1068" s="35"/>
      <x:c r="C1068" s="35"/>
    </x:row>
    <x:row r="1069" ht="15" hidden="0">
      <x:c r="A1069" s="35"/>
      <x:c r="B1069" s="35"/>
      <x:c r="C1069" s="35"/>
    </x:row>
    <x:row r="1070" ht="15" hidden="0">
      <x:c r="A1070" s="35"/>
      <x:c r="B1070" s="35"/>
      <x:c r="C1070" s="35"/>
    </x:row>
    <x:row r="1071" ht="15" hidden="0">
      <x:c r="A1071" s="35"/>
      <x:c r="B1071" s="35"/>
      <x:c r="C1071" s="35"/>
    </x:row>
    <x:row r="1072" ht="15" hidden="0">
      <x:c r="A1072" s="35"/>
      <x:c r="B1072" s="35"/>
      <x:c r="C1072" s="35"/>
    </x:row>
    <x:row r="1073" ht="15" hidden="0">
      <x:c r="A1073" s="35"/>
      <x:c r="B1073" s="35"/>
      <x:c r="C1073" s="35"/>
    </x:row>
    <x:row r="1074" ht="15" hidden="0">
      <x:c r="A1074" s="35"/>
      <x:c r="B1074" s="35"/>
      <x:c r="C1074" s="35"/>
    </x:row>
    <x:row r="1075" ht="15" hidden="0">
      <x:c r="A1075" s="35"/>
      <x:c r="B1075" s="35"/>
      <x:c r="C1075" s="35"/>
    </x:row>
    <x:row r="1076" ht="15" hidden="0">
      <x:c r="A1076" s="35"/>
      <x:c r="B1076" s="35"/>
      <x:c r="C1076" s="35"/>
    </x:row>
    <x:row r="1077" ht="15" hidden="0">
      <x:c r="A1077" s="35"/>
      <x:c r="B1077" s="35"/>
      <x:c r="C1077" s="35"/>
    </x:row>
    <x:row r="1078" ht="15" hidden="0">
      <x:c r="A1078" s="35"/>
      <x:c r="B1078" s="35"/>
      <x:c r="C1078" s="35"/>
    </x:row>
    <x:row r="1079" ht="15" hidden="0">
      <x:c r="A1079" s="35"/>
      <x:c r="B1079" s="35"/>
      <x:c r="C1079" s="35"/>
    </x:row>
    <x:row r="1080" ht="15" hidden="0">
      <x:c r="A1080" s="35"/>
      <x:c r="B1080" s="35"/>
      <x:c r="C1080" s="35"/>
    </x:row>
    <x:row r="1081" ht="15" hidden="0">
      <x:c r="A1081" s="35"/>
      <x:c r="B1081" s="35"/>
      <x:c r="C1081" s="35"/>
    </x:row>
    <x:row r="1082" ht="15" hidden="0">
      <x:c r="A1082" s="35"/>
      <x:c r="B1082" s="35"/>
      <x:c r="C1082" s="35"/>
    </x:row>
    <x:row r="1083" ht="15" hidden="0">
      <x:c r="A1083" s="35"/>
      <x:c r="B1083" s="35"/>
      <x:c r="C1083" s="35"/>
    </x:row>
    <x:row r="1084" ht="15" hidden="0">
      <x:c r="A1084" s="35"/>
      <x:c r="B1084" s="35"/>
      <x:c r="C1084" s="35"/>
    </x:row>
    <x:row r="1085" ht="15" hidden="0">
      <x:c r="A1085" s="35"/>
      <x:c r="B1085" s="35"/>
      <x:c r="C1085" s="35"/>
    </x:row>
    <x:row r="1086" ht="15" hidden="0">
      <x:c r="A1086" s="35"/>
      <x:c r="B1086" s="35"/>
      <x:c r="C1086" s="35"/>
    </x:row>
    <x:row r="1087" ht="15" hidden="0">
      <x:c r="A1087" s="35"/>
      <x:c r="B1087" s="35"/>
      <x:c r="C1087" s="35"/>
    </x:row>
    <x:row r="1088" ht="15" hidden="0">
      <x:c r="A1088" s="35"/>
      <x:c r="B1088" s="35"/>
      <x:c r="C1088" s="35"/>
    </x:row>
    <x:row r="1089" ht="15" hidden="0">
      <x:c r="A1089" s="35"/>
      <x:c r="B1089" s="35"/>
      <x:c r="C1089" s="35"/>
    </x:row>
    <x:row r="1090" ht="15" hidden="0">
      <x:c r="A1090" s="35"/>
      <x:c r="B1090" s="35"/>
      <x:c r="C1090" s="35"/>
    </x:row>
    <x:row r="1091" ht="15" hidden="0">
      <x:c r="A1091" s="35"/>
      <x:c r="B1091" s="35"/>
      <x:c r="C1091" s="35"/>
    </x:row>
    <x:row r="1092" ht="15" hidden="0">
      <x:c r="A1092" s="35"/>
      <x:c r="B1092" s="35"/>
      <x:c r="C1092" s="35"/>
    </x:row>
    <x:row r="1093" ht="15" hidden="0">
      <x:c r="A1093" s="35"/>
      <x:c r="B1093" s="35"/>
      <x:c r="C1093" s="35"/>
    </x:row>
    <x:row r="1094" ht="15" hidden="0">
      <x:c r="A1094" s="35"/>
      <x:c r="B1094" s="35"/>
      <x:c r="C1094" s="35"/>
    </x:row>
    <x:row r="1095" ht="15" hidden="0">
      <x:c r="A1095" s="35"/>
      <x:c r="B1095" s="35"/>
      <x:c r="C1095" s="35"/>
    </x:row>
    <x:row r="1096" ht="15" hidden="0">
      <x:c r="A1096" s="35"/>
      <x:c r="B1096" s="35"/>
      <x:c r="C1096" s="35"/>
    </x:row>
  </x:sheetData>
  <x:mergeCells>
    <x:mergeCell ref="A1:C1"/>
    <x:mergeCell ref="C3:D3"/>
    <x:mergeCell ref="C4:D4"/>
    <x:mergeCell ref="A6:B6"/>
    <x:mergeCell ref="A27:B27"/>
    <x:mergeCell ref="A48:B48"/>
    <x:mergeCell ref="A69:B69"/>
    <x:mergeCell ref="B93:E93"/>
    <x:mergeCell ref="B94:E94"/>
    <x:mergeCell ref="B95:E95"/>
    <x:mergeCell ref="B96:E96"/>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13.50390625" defaultRowHeight="15"/>
  <x:cols>
    <x:col min="1" max="1" width="55.5" style="40" hidden="0" customWidth="1"/>
    <x:col min="2" max="2" width="15.619999885559082" style="41" hidden="0" customWidth="1"/>
    <x:col min="3" max="3" width="18" style="41" hidden="0" customWidth="1"/>
    <x:col min="4" max="4" width="19" style="41" hidden="0" customWidth="1"/>
    <x:col min="5" max="5" width="14" style="41" hidden="0" customWidth="1"/>
    <x:col min="6" max="6" width="16" style="41" hidden="0" customWidth="1"/>
    <x:col min="7" max="7" width="18" style="41" hidden="0" customWidth="1"/>
    <x:col min="8" max="8" width="14.380000114440918" style="41" hidden="0" customWidth="1"/>
    <x:col min="9" max="9" width="16.5" style="41" hidden="0" customWidth="1"/>
    <x:col min="10" max="10" width="16" style="41" hidden="0" customWidth="1"/>
    <x:col min="11" max="16384" width="13.5" style="41" hidden="0" customWidth="0"/>
  </x:cols>
  <x:sheetData>
    <x:row r="1" ht="60" hidden="0" customHeight="1">
      <x:c r="A1" s="211" t="s">
        <x:v>23</x:v>
      </x:c>
      <x:c r="B1" s="211"/>
      <x:c r="C1" s="211"/>
      <x:c r="D1" s="212" t="s">
        <x:v>24</x:v>
      </x:c>
      <x:c r="E1" s="212"/>
      <x:c r="F1" s="212"/>
      <x:c r="G1" s="212"/>
      <x:c r="H1" s="43"/>
      <x:c r="I1" s="43"/>
      <x:c r="J1" s="43"/>
    </x:row>
    <x:row r="2" ht="42" hidden="0" customHeight="1">
      <x:c r="A2" s="213" t="str">
        <x:v>Budget period: 12 grant-relative months after the agreed start, subject to award. H1 = Q1–Q2; H2 = Q3–Q4. These are cost/funding allocations, not a confirmed cash-disbursement schedule.</x:v>
      </x:c>
      <x:c r="B2" s="213"/>
      <x:c r="C2" s="213"/>
      <x:c r="D2" s="214"/>
      <x:c r="E2" s="144"/>
      <x:c r="F2" s="144"/>
      <x:c r="G2" s="144"/>
    </x:row>
    <x:row r="3" ht="32" hidden="0" customHeight="1">
      <x:c r="A3" s="215" t="str">
        <x:v>Cartagena On Chain — Galeon</x:v>
      </x:c>
      <x:c r="B3" s="216" t="s">
        <x:v>9</x:v>
      </x:c>
      <x:c r="C3" s="216"/>
      <x:c r="D3" s="216"/>
      <x:c r="E3" s="216" t="s">
        <x:v>25</x:v>
      </x:c>
      <x:c r="F3" s="216"/>
      <x:c r="G3" s="216"/>
    </x:row>
    <x:row r="4" ht="60" hidden="0" customHeight="1">
      <x:c r="A4" s="217"/>
      <x:c r="B4" s="218" t="s">
        <x:v>26</x:v>
      </x:c>
      <x:c r="C4" s="218" t="s">
        <x:v>27</x:v>
      </x:c>
      <x:c r="D4" s="216" t="s">
        <x:v>28</x:v>
      </x:c>
      <x:c r="E4" s="218" t="s">
        <x:v>26</x:v>
      </x:c>
      <x:c r="F4" s="218" t="s">
        <x:v>27</x:v>
      </x:c>
      <x:c r="G4" s="216" t="s">
        <x:v>29</x:v>
      </x:c>
    </x:row>
    <x:row r="5" ht="15" hidden="0" customHeight="1">
      <x:c r="A5" s="219" t="s">
        <x:v>30</x:v>
      </x:c>
      <x:c r="B5" s="165"/>
      <x:c r="C5" s="165"/>
      <x:c r="D5" s="220"/>
      <x:c r="E5" s="165"/>
      <x:c r="F5" s="165"/>
      <x:c r="G5" s="220"/>
    </x:row>
    <x:row r="6" ht="30.75" hidden="0" customHeight="1">
      <x:c r="A6" s="221" t="s">
        <x:v>31</x:v>
      </x:c>
      <x:c r="B6" s="242" t="n">
        <x:f aca="0">SUM(B7:B15)</x:f>
        <x:v>0</x:v>
      </x:c>
      <x:c r="C6" s="242" t="n">
        <x:f aca="0">SUM(C7:C15)</x:f>
        <x:v>0</x:v>
      </x:c>
      <x:c r="D6" s="243" t="n">
        <x:f aca="0">SUM(B6:C6)</x:f>
        <x:v>0</x:v>
      </x:c>
      <x:c r="E6" s="251" t="n">
        <x:f aca="0">SUM(E7:E15)</x:f>
        <x:v>0</x:v>
      </x:c>
      <x:c r="F6" s="251" t="n">
        <x:f aca="0">SUM(F7:F15)</x:f>
        <x:v>0</x:v>
      </x:c>
      <x:c r="G6" s="252" t="n">
        <x:f aca="0">SUM(E6:F6)</x:f>
        <x:v>0</x:v>
      </x:c>
    </x:row>
    <x:row r="7" ht="46" hidden="0" customHeight="1">
      <x:c r="A7" s="226" t="str">
        <x:v>Implementation and support services — no unconfirmed revenue included</x:v>
      </x:c>
      <x:c r="B7" s="244" t="n">
        <x:v>0</x:v>
      </x:c>
      <x:c r="C7" s="244" t="n">
        <x:v>0</x:v>
      </x:c>
      <x:c r="D7" s="245" t="n">
        <x:f aca="0">SUM(B7:C7)</x:f>
        <x:v>0</x:v>
      </x:c>
      <x:c r="E7" s="253"/>
      <x:c r="F7" s="253"/>
      <x:c r="G7" s="254"/>
    </x:row>
    <x:row r="8" ht="15" hidden="0" customHeight="1">
      <x:c r="A8" s="231"/>
      <x:c r="B8" s="246"/>
      <x:c r="C8" s="246"/>
      <x:c r="D8" s="245"/>
      <x:c r="E8" s="253"/>
      <x:c r="F8" s="253"/>
      <x:c r="G8" s="254"/>
    </x:row>
    <x:row r="9" ht="15" hidden="0" customHeight="1">
      <x:c r="A9" s="231"/>
      <x:c r="B9" s="246"/>
      <x:c r="C9" s="246"/>
      <x:c r="D9" s="245"/>
      <x:c r="E9" s="253"/>
      <x:c r="F9" s="253"/>
      <x:c r="G9" s="254"/>
    </x:row>
    <x:row r="10" ht="15" hidden="0" customHeight="1">
      <x:c r="A10" s="231"/>
      <x:c r="B10" s="246"/>
      <x:c r="C10" s="246"/>
      <x:c r="D10" s="245"/>
      <x:c r="E10" s="253"/>
      <x:c r="F10" s="253"/>
      <x:c r="G10" s="254"/>
    </x:row>
    <x:row r="11" ht="15" hidden="0" customHeight="1">
      <x:c r="A11" s="231"/>
      <x:c r="B11" s="246"/>
      <x:c r="C11" s="246"/>
      <x:c r="D11" s="245"/>
      <x:c r="E11" s="253"/>
      <x:c r="F11" s="253"/>
      <x:c r="G11" s="254"/>
    </x:row>
    <x:row r="12" ht="15" hidden="0" customHeight="1">
      <x:c r="A12" s="231"/>
      <x:c r="B12" s="246"/>
      <x:c r="C12" s="246"/>
      <x:c r="D12" s="245"/>
      <x:c r="E12" s="253"/>
      <x:c r="F12" s="253"/>
      <x:c r="G12" s="254"/>
    </x:row>
    <x:row r="13" ht="15" hidden="0" customHeight="1">
      <x:c r="A13" s="231"/>
      <x:c r="B13" s="246"/>
      <x:c r="C13" s="246"/>
      <x:c r="D13" s="245"/>
      <x:c r="E13" s="253"/>
      <x:c r="F13" s="253"/>
      <x:c r="G13" s="254"/>
    </x:row>
    <x:row r="14" ht="15" hidden="0" customHeight="1">
      <x:c r="A14" s="165"/>
      <x:c r="B14" s="246"/>
      <x:c r="C14" s="246"/>
      <x:c r="D14" s="245"/>
      <x:c r="E14" s="253"/>
      <x:c r="F14" s="253"/>
      <x:c r="G14" s="254"/>
    </x:row>
    <x:row r="15" ht="15" hidden="0" customHeight="1">
      <x:c r="A15" s="165"/>
      <x:c r="B15" s="246"/>
      <x:c r="C15" s="246"/>
      <x:c r="D15" s="245"/>
      <x:c r="E15" s="253"/>
      <x:c r="F15" s="253"/>
      <x:c r="G15" s="254"/>
    </x:row>
    <x:row r="16" ht="30.75" hidden="0" customHeight="1">
      <x:c r="A16" s="221" t="s">
        <x:v>32</x:v>
      </x:c>
      <x:c r="B16" s="242" t="n">
        <x:f aca="0">SUM(B17:B26)</x:f>
        <x:v>37200</x:v>
      </x:c>
      <x:c r="C16" s="242" t="n">
        <x:f aca="0">SUM(C17:C26)</x:f>
        <x:v>32800</x:v>
      </x:c>
      <x:c r="D16" s="243" t="n">
        <x:f aca="0">SUM(B16:C16)</x:f>
        <x:v>70000</x:v>
      </x:c>
      <x:c r="E16" s="251" t="n">
        <x:f aca="0">SUM(E17:E26)</x:f>
        <x:v>0</x:v>
      </x:c>
      <x:c r="F16" s="251" t="n">
        <x:f aca="0">SUM(F17:F26)</x:f>
        <x:v>0</x:v>
      </x:c>
      <x:c r="G16" s="252" t="n">
        <x:f aca="0">SUM(E16:F16)</x:f>
        <x:v>0</x:v>
      </x:c>
    </x:row>
    <x:row r="17" ht="65" hidden="0" customHeight="1">
      <x:c r="A17" s="226" t="str">
        <x:v>Proposed UNICEF investment, if selected — USD 70,000; H1/H2 allocation follows planned costs, not tranche timing</x:v>
      </x:c>
      <x:c r="B17" s="250" t="n">
        <x:f>SUM('Tab 1 Project Design Budget'!C6,'Tab 1 Project Design Budget'!C27)</x:f>
        <x:v>37200</x:v>
      </x:c>
      <x:c r="C17" s="250" t="n">
        <x:f>SUM('Tab 1 Project Design Budget'!C48,'Tab 1 Project Design Budget'!C69)</x:f>
        <x:v>32800</x:v>
      </x:c>
      <x:c r="D17" s="245" t="n">
        <x:f aca="0">SUM(B17:C17)</x:f>
        <x:v>70000</x:v>
      </x:c>
      <x:c r="E17" s="253"/>
      <x:c r="F17" s="253"/>
      <x:c r="G17" s="254"/>
    </x:row>
    <x:row r="18" ht="30.75" hidden="0" customHeight="1">
      <x:c r="A18" s="226"/>
      <x:c r="B18" s="244"/>
      <x:c r="C18" s="244"/>
      <x:c r="D18" s="245" t="n">
        <x:f aca="0">SUM(B18:C18)</x:f>
        <x:v>0</x:v>
      </x:c>
      <x:c r="E18" s="253"/>
      <x:c r="F18" s="253"/>
      <x:c r="G18" s="254"/>
    </x:row>
    <x:row r="19" ht="30.75" hidden="0" customHeight="1">
      <x:c r="A19" s="226"/>
      <x:c r="B19" s="244"/>
      <x:c r="C19" s="244"/>
      <x:c r="D19" s="245" t="n">
        <x:f aca="0">SUM(B19:C19)</x:f>
        <x:v>0</x:v>
      </x:c>
      <x:c r="E19" s="253"/>
      <x:c r="F19" s="253"/>
      <x:c r="G19" s="254"/>
    </x:row>
    <x:row r="20" ht="15" hidden="0" customHeight="1">
      <x:c r="A20" s="231"/>
      <x:c r="B20" s="246"/>
      <x:c r="C20" s="246"/>
      <x:c r="D20" s="245"/>
      <x:c r="E20" s="253"/>
      <x:c r="F20" s="253"/>
      <x:c r="G20" s="254"/>
    </x:row>
    <x:row r="21" ht="15" hidden="0" customHeight="1">
      <x:c r="A21" s="231"/>
      <x:c r="B21" s="246"/>
      <x:c r="C21" s="246"/>
      <x:c r="D21" s="245"/>
      <x:c r="E21" s="253"/>
      <x:c r="F21" s="253"/>
      <x:c r="G21" s="254"/>
    </x:row>
    <x:row r="22" ht="15" hidden="0" customHeight="1">
      <x:c r="A22" s="231"/>
      <x:c r="B22" s="246"/>
      <x:c r="C22" s="246"/>
      <x:c r="D22" s="245"/>
      <x:c r="E22" s="253"/>
      <x:c r="F22" s="253"/>
      <x:c r="G22" s="254"/>
    </x:row>
    <x:row r="23" ht="15" hidden="0" customHeight="1">
      <x:c r="A23" s="165"/>
      <x:c r="B23" s="246"/>
      <x:c r="C23" s="246"/>
      <x:c r="D23" s="245"/>
      <x:c r="E23" s="253"/>
      <x:c r="F23" s="253"/>
      <x:c r="G23" s="254"/>
    </x:row>
    <x:row r="24" ht="15" hidden="0" customHeight="1">
      <x:c r="A24" s="165"/>
      <x:c r="B24" s="246"/>
      <x:c r="C24" s="246"/>
      <x:c r="D24" s="245"/>
      <x:c r="E24" s="253"/>
      <x:c r="F24" s="253"/>
      <x:c r="G24" s="254"/>
    </x:row>
    <x:row r="25" ht="15" hidden="0" customHeight="1">
      <x:c r="A25" s="165"/>
      <x:c r="B25" s="246"/>
      <x:c r="C25" s="246"/>
      <x:c r="D25" s="245"/>
      <x:c r="E25" s="253"/>
      <x:c r="F25" s="253"/>
      <x:c r="G25" s="254"/>
    </x:row>
    <x:row r="26" ht="15" hidden="0" customHeight="1">
      <x:c r="A26" s="165"/>
      <x:c r="B26" s="246"/>
      <x:c r="C26" s="246"/>
      <x:c r="D26" s="245"/>
      <x:c r="E26" s="253"/>
      <x:c r="F26" s="253"/>
      <x:c r="G26" s="254"/>
    </x:row>
    <x:row r="27" ht="15" hidden="0" customHeight="1">
      <x:c r="A27" s="234" t="s">
        <x:v>33</x:v>
      </x:c>
      <x:c r="B27" s="243" t="n">
        <x:f aca="0">B6+B16</x:f>
        <x:v>37200</x:v>
      </x:c>
      <x:c r="C27" s="243" t="n">
        <x:f aca="0">C6+C16</x:f>
        <x:v>32800</x:v>
      </x:c>
      <x:c r="D27" s="243" t="n">
        <x:f aca="0">SUM(B27:C27)</x:f>
        <x:v>70000</x:v>
      </x:c>
      <x:c r="E27" s="252" t="n">
        <x:f aca="0">E6+E16</x:f>
        <x:v>0</x:v>
      </x:c>
      <x:c r="F27" s="252" t="n">
        <x:f aca="0">F6+F16</x:f>
        <x:v>0</x:v>
      </x:c>
      <x:c r="G27" s="252" t="n">
        <x:f aca="0">SUM(E27:F27)</x:f>
        <x:v>0</x:v>
      </x:c>
    </x:row>
    <x:row r="28" s="73" customFormat="1" ht="15" hidden="0" customHeight="1">
      <x:c r="A28" s="165"/>
      <x:c r="B28" s="246"/>
      <x:c r="C28" s="246"/>
      <x:c r="D28" s="245"/>
      <x:c r="E28" s="253"/>
      <x:c r="F28" s="253"/>
      <x:c r="G28" s="254"/>
    </x:row>
    <x:row r="29" ht="104" hidden="0" customHeight="1">
      <x:c r="A29" s="226" t="str">
        <x:v>Personnel — three full-time roles for 12 months: Carlos Quintero, protocol (USD 16,000); Mateo Daza, development lead (USD 16,000); Fabio Anaya, operations/partnerships (USD 8,000). Proposed all-in role costs; see note 3.</x:v>
      </x:c>
      <x:c r="B29" s="250" t="n">
        <x:f>SUM('Budget by cost category'!B4:C4)</x:f>
        <x:v>20000</x:v>
      </x:c>
      <x:c r="C29" s="250" t="n">
        <x:f>SUM('Budget by cost category'!D4:E4)</x:f>
        <x:v>20000</x:v>
      </x:c>
      <x:c r="D29" s="245" t="n">
        <x:f aca="0">SUM(B29:C29)</x:f>
        <x:v>40000</x:v>
      </x:c>
      <x:c r="E29" s="251"/>
      <x:c r="F29" s="251"/>
      <x:c r="G29" s="252"/>
    </x:row>
    <x:row r="30" ht="63" hidden="0" customHeight="1">
      <x:c r="A30" s="226" t="str">
        <x:v>Professional services — independent security/privacy review and re-review of Galeon’s enabled modified stack</x:v>
      </x:c>
      <x:c r="B30" s="250" t="n">
        <x:f>SUM('Budget by cost category'!B5:C5)</x:f>
        <x:v>9500</x:v>
      </x:c>
      <x:c r="C30" s="250" t="n">
        <x:f>SUM('Budget by cost category'!D5:E5)</x:f>
        <x:v>5500</x:v>
      </x:c>
      <x:c r="D30" s="245" t="n">
        <x:f aca="0">SUM(B30:C30)</x:f>
        <x:v>15000</x:v>
      </x:c>
      <x:c r="E30" s="253"/>
      <x:c r="F30" s="253"/>
      <x:c r="G30" s="254"/>
    </x:row>
    <x:row r="31" ht="63" hidden="0" customHeight="1">
      <x:c r="A31" s="226" t="str">
        <x:v>Legal — actual ASP/key/data roles, policy/terms and selected jurisdiction; not an assumed licensing exemption</x:v>
      </x:c>
      <x:c r="B31" s="250" t="n">
        <x:f>SUM('Budget by cost category'!B6:C6)</x:f>
        <x:v>4000</x:v>
      </x:c>
      <x:c r="C31" s="250" t="n">
        <x:f>SUM('Budget by cost category'!D6:E6)</x:f>
        <x:v>1000</x:v>
      </x:c>
      <x:c r="D31" s="245" t="n">
        <x:f aca="0">SUM(B31:C31)</x:f>
        <x:v>5000</x:v>
      </x:c>
      <x:c r="E31" s="253"/>
      <x:c r="F31" s="253"/>
      <x:c r="G31" s="254"/>
    </x:row>
    <x:row r="32" ht="63" hidden="0" customHeight="1">
      <x:c r="A32" s="226" t="str">
        <x:v>Infrastructure and test devices — hosting, RPC, indexer/relayer, telemetry and physical Android testing</x:v>
      </x:c>
      <x:c r="B32" s="250" t="n">
        <x:f>SUM('Budget by cost category'!B8:C8)</x:f>
        <x:v>1700</x:v>
      </x:c>
      <x:c r="C32" s="250" t="n">
        <x:f>SUM('Budget by cost category'!D8:E8)</x:f>
        <x:v>1300</x:v>
      </x:c>
      <x:c r="D32" s="245" t="n">
        <x:f aca="0">SUM(B32:C32)</x:f>
        <x:v>3000</x:v>
      </x:c>
      <x:c r="E32" s="253"/>
      <x:c r="F32" s="253"/>
      <x:c r="G32" s="254"/>
    </x:row>
    <x:row r="33" ht="63" hidden="0" customHeight="1">
      <x:c r="A33" s="226" t="str">
        <x:v>Participation — technical onboarding and gas support; no liquidity principal or beneficiary transfers</x:v>
      </x:c>
      <x:c r="B33" s="250" t="n">
        <x:f>SUM('Budget by cost category'!B7:C7)</x:f>
        <x:v>800</x:v>
      </x:c>
      <x:c r="C33" s="250" t="n">
        <x:f>SUM('Budget by cost category'!D7:E7)</x:f>
        <x:v>2400</x:v>
      </x:c>
      <x:c r="D33" s="245" t="n">
        <x:f aca="0">SUM(B33:C33)</x:f>
        <x:v>3200</x:v>
      </x:c>
      <x:c r="E33" s="253"/>
      <x:c r="F33" s="253"/>
      <x:c r="G33" s="254"/>
    </x:row>
    <x:row r="34" ht="63" hidden="0" customHeight="1">
      <x:c r="A34" s="226" t="str">
        <x:v>Partner preparation — staff testing, readiness and training; no programme transfers</x:v>
      </x:c>
      <x:c r="B34" s="250" t="n">
        <x:f>SUM('Budget by cost category'!B9:C9)</x:f>
        <x:v>500</x:v>
      </x:c>
      <x:c r="C34" s="250" t="n">
        <x:f>SUM('Budget by cost category'!D9:E9)</x:f>
        <x:v>1100</x:v>
      </x:c>
      <x:c r="D34" s="245" t="n">
        <x:f aca="0">SUM(B34:C34)</x:f>
        <x:v>1600</x:v>
      </x:c>
      <x:c r="E34" s="253"/>
      <x:c r="F34" s="253"/>
      <x:c r="G34" s="254"/>
    </x:row>
    <x:row r="35" ht="63" hidden="0" customHeight="1">
      <x:c r="A35" s="226" t="str">
        <x:v>DPG/open-source documentation — licensing, provenance and independently usable deployment evidence</x:v>
      </x:c>
      <x:c r="B35" s="250" t="n">
        <x:f>SUM('Budget by cost category'!B10:C10)</x:f>
        <x:v>100</x:v>
      </x:c>
      <x:c r="C35" s="250" t="n">
        <x:f>SUM('Budget by cost category'!D10:E10)</x:f>
        <x:v>900</x:v>
      </x:c>
      <x:c r="D35" s="245" t="n">
        <x:f aca="0">SUM(B35:C35)</x:f>
        <x:v>1000</x:v>
      </x:c>
      <x:c r="E35" s="253"/>
      <x:c r="F35" s="253"/>
      <x:c r="G35" s="254"/>
    </x:row>
    <x:row r="36" ht="63" hidden="0" customHeight="1">
      <x:c r="A36" s="226" t="str">
        <x:v>General administration — estimated accounting/filings and relevant transfer/accounting costs; UNICEF eligibility confirmation requested</x:v>
      </x:c>
      <x:c r="B36" s="244" t="n">
        <x:v>600</x:v>
      </x:c>
      <x:c r="C36" s="244" t="n">
        <x:v>600</x:v>
      </x:c>
      <x:c r="D36" s="245" t="n">
        <x:f aca="0">SUM(B36:C36)</x:f>
        <x:v>1200</x:v>
      </x:c>
      <x:c r="E36" s="253"/>
      <x:c r="F36" s="253"/>
      <x:c r="G36" s="254"/>
    </x:row>
    <x:row r="37" ht="15" hidden="0" customHeight="1">
      <x:c r="A37" s="165"/>
      <x:c r="B37" s="246"/>
      <x:c r="C37" s="246"/>
      <x:c r="D37" s="245"/>
      <x:c r="E37" s="253"/>
      <x:c r="F37" s="253"/>
      <x:c r="G37" s="254"/>
    </x:row>
    <x:row r="38" ht="15" hidden="0" customHeight="1">
      <x:c r="A38" s="165"/>
      <x:c r="B38" s="246"/>
      <x:c r="C38" s="246"/>
      <x:c r="D38" s="245"/>
      <x:c r="E38" s="253"/>
      <x:c r="F38" s="253"/>
      <x:c r="G38" s="254"/>
    </x:row>
    <x:row r="39" ht="15" hidden="0" customHeight="1">
      <x:c r="A39" s="234" t="s">
        <x:v>34</x:v>
      </x:c>
      <x:c r="B39" s="243" t="n">
        <x:f aca="0">SUM(B29:B38)</x:f>
        <x:v>37200</x:v>
      </x:c>
      <x:c r="C39" s="243" t="n">
        <x:f aca="0">SUM(C29:C38)</x:f>
        <x:v>32800</x:v>
      </x:c>
      <x:c r="D39" s="243" t="n">
        <x:f aca="0">SUM(B39:C39)</x:f>
        <x:v>70000</x:v>
      </x:c>
      <x:c r="E39" s="252" t="n">
        <x:f aca="0">SUM(E29:E38)</x:f>
        <x:v>0</x:v>
      </x:c>
      <x:c r="F39" s="252" t="n">
        <x:f aca="0">SUM(F29:F38)</x:f>
        <x:v>0</x:v>
      </x:c>
      <x:c r="G39" s="252" t="n">
        <x:f aca="0">SUM(E39:F39)</x:f>
        <x:v>0</x:v>
      </x:c>
    </x:row>
    <x:row r="40" s="73" customFormat="1" ht="15" hidden="0" customHeight="1">
      <x:c r="A40" s="235"/>
      <x:c r="B40" s="169"/>
      <x:c r="C40" s="169"/>
      <x:c r="D40" s="247"/>
      <x:c r="E40" s="174"/>
      <x:c r="F40" s="174"/>
      <x:c r="G40" s="255"/>
    </x:row>
    <x:row r="41" s="82" customFormat="1" ht="14.25" hidden="0" customHeight="1">
      <x:c r="A41" s="165" t="s">
        <x:v>35</x:v>
      </x:c>
      <x:c r="B41" s="169" t="n">
        <x:f aca="0">B27-B39</x:f>
        <x:v>0</x:v>
      </x:c>
      <x:c r="C41" s="169" t="n">
        <x:f aca="0">C27-C39</x:f>
        <x:v>0</x:v>
      </x:c>
      <x:c r="D41" s="247" t="n">
        <x:f aca="0">D27-D39</x:f>
        <x:v>0</x:v>
      </x:c>
      <x:c r="E41" s="174" t="n">
        <x:f aca="0">E27-E39</x:f>
        <x:v>0</x:v>
      </x:c>
      <x:c r="F41" s="174" t="n">
        <x:f aca="0">F27-F39</x:f>
        <x:v>0</x:v>
      </x:c>
      <x:c r="G41" s="255" t="n">
        <x:f aca="0">G27-G39</x:f>
        <x:v>0</x:v>
      </x:c>
    </x:row>
    <x:row r="42" s="82" customFormat="1" ht="14.25" hidden="0" customHeight="1">
      <x:c r="A42" s="165" t="s">
        <x:v>36</x:v>
      </x:c>
      <x:c r="B42" s="169" t="n">
        <x:v>0</x:v>
      </x:c>
      <x:c r="C42" s="169" t="n">
        <x:v>0</x:v>
      </x:c>
      <x:c r="D42" s="247"/>
      <x:c r="E42" s="174"/>
      <x:c r="F42" s="174"/>
      <x:c r="G42" s="255"/>
    </x:row>
    <x:row r="43" s="73" customFormat="1" ht="15" hidden="0" customHeight="1">
      <x:c r="A43" s="238"/>
      <x:c r="B43" s="248"/>
      <x:c r="C43" s="248"/>
      <x:c r="D43" s="249"/>
      <x:c r="E43" s="256"/>
      <x:c r="F43" s="256"/>
      <x:c r="G43" s="257"/>
    </x:row>
    <x:row r="44" ht="15" hidden="0" customHeight="1">
      <x:c r="A44" s="234" t="s">
        <x:v>37</x:v>
      </x:c>
      <x:c r="B44" s="243" t="n">
        <x:f aca="0">B41-B42</x:f>
        <x:v>0</x:v>
      </x:c>
      <x:c r="C44" s="243" t="n">
        <x:f aca="0">C41-C42</x:f>
        <x:v>0</x:v>
      </x:c>
      <x:c r="D44" s="243" t="n">
        <x:f aca="0">SUM(B44:C44)</x:f>
        <x:v>0</x:v>
      </x:c>
      <x:c r="E44" s="252" t="n">
        <x:f aca="0">E41-E42</x:f>
        <x:v>0</x:v>
      </x:c>
      <x:c r="F44" s="252" t="n">
        <x:f aca="0">F41-F42</x:f>
        <x:v>0</x:v>
      </x:c>
      <x:c r="G44" s="252" t="n">
        <x:f aca="0">SUM(E44:F44)</x:f>
        <x:v>0</x:v>
      </x:c>
    </x:row>
    <x:row r="45" ht="15" hidden="0" customHeight="1">
      <x:c r="A45" s="238"/>
      <x:c r="B45" s="214"/>
      <x:c r="C45" s="214"/>
      <x:c r="D45" s="214"/>
      <x:c r="E45" s="144"/>
      <x:c r="F45" s="144"/>
      <x:c r="G45" s="144"/>
    </x:row>
    <x:row r="46" ht="15" hidden="0" customHeight="1">
      <x:c r="A46" s="168" t="s">
        <x:v>38</x:v>
      </x:c>
      <x:c r="B46" s="214"/>
      <x:c r="C46" s="214"/>
      <x:c r="D46" s="214"/>
      <x:c r="E46" s="144"/>
      <x:c r="F46" s="144"/>
      <x:c r="G46" s="144"/>
    </x:row>
    <x:row r="47" ht="60" hidden="0" customHeight="1">
      <x:c r="A47" s="140" t="str">
        <x:v>1. USD proposal; funding requested in USDC. UNICEF handles conversion. ETH fields are unused. Receiving network, native token contract and entity wallet will be agreed before transfer; the grant-receiving chain is distinct from the protocol deployment decision.</x:v>
      </x:c>
      <x:c r="B47" s="214"/>
      <x:c r="C47" s="214"/>
      <x:c r="D47" s="214"/>
      <x:c r="E47" s="144"/>
      <x:c r="F47" s="144"/>
      <x:c r="G47" s="144"/>
    </x:row>
    <x:row r="48" ht="60" hidden="0" customHeight="1">
      <x:c r="A48" s="140" t="str">
        <x:v>2. This is the proposed Galeon funded-year operating budget, subject to award. H1/H2 amounts follow costs, not assured tranche dates. No unconfirmed founder contribution, outside revenue or cash reserve is assumed. Start and first-tranche timing must be agreed before an unfunded obligation is accepted.</x:v>
      </x:c>
      <x:c r="B48" s="214"/>
      <x:c r="C48" s="214"/>
      <x:c r="D48" s="214"/>
      <x:c r="E48" s="144"/>
      <x:c r="F48" s="144"/>
      <x:c r="G48" s="144"/>
    </x:row>
    <x:row r="49" ht="60" hidden="0" customHeight="1">
      <x:c r="A49" s="140" t="str">
        <x:v>3. Two full-time engineers and one full-time operations lead for twelve months. Annual proposed all-in costs: Carlos 16,000; Mateo 16,000; Fabio 8,000 USD. These are not agreed net salaries or invented in-kind contributions. Finalize sustainable compensation, engagement terms and applicable company-side obligations before contracting; no extra staff salaries included.</x:v>
      </x:c>
      <x:c r="B49" s="214"/>
      <x:c r="C49" s="214"/>
      <x:c r="D49" s="214"/>
      <x:c r="E49" s="144"/>
      <x:c r="F49" s="144"/>
      <x:c r="G49" s="144"/>
    </x:row>
    <x:row r="50" ht="60" hidden="0" customHeight="1">
      <x:c r="A50" s="140" t="str">
        <x:v>4. Excludes pool liquidity/principal, beneficiary or programme transfers, partner cash-out fees and ongoing partner compliance operations. External resources for the USD 5,000 median-balance target and any beneficiary pilot remain to be secured; letters of interest are not funding commitments.</x:v>
      </x:c>
      <x:c r="B50" s="214"/>
      <x:c r="C50" s="214"/>
      <x:c r="D50" s="214"/>
      <x:c r="E50" s="144"/>
      <x:c r="F50" s="144"/>
      <x:c r="G50" s="144"/>
    </x:row>
    <x:row r="51" ht="60" hidden="0" customHeight="1">
      <x:c r="A51" s="140" t="str">
        <x:v>5. General administration USD 1,200 is included in the USD 70,000 cap; eligibility is a question for UNICEF. Costs are estimates, not supplier commitments. Tax/engagement and transfer accounting treatment require confirmation; no unsupported tax exemption or future investment is assumed.</x:v>
      </x:c>
      <x:c r="B51" s="214"/>
      <x:c r="C51" s="214"/>
      <x:c r="D51" s="214"/>
      <x:c r="E51" s="144"/>
      <x:c r="F51" s="144"/>
      <x:c r="G51" s="144"/>
    </x:row>
    <x:row r="52" ht="15" hidden="0" customHeight="1">
      <x:c r="A52" s="93"/>
      <x:c r="B52" s="45"/>
      <x:c r="C52" s="45"/>
      <x:c r="D52" s="45"/>
    </x:row>
    <x:row r="53" ht="15" hidden="0" customHeight="1">
      <x:c r="A53" s="90"/>
      <x:c r="B53" s="45"/>
      <x:c r="C53" s="45"/>
      <x:c r="D53" s="45"/>
    </x:row>
    <x:row r="54" ht="15" hidden="0" customHeight="1">
      <x:c r="A54" s="90"/>
      <x:c r="B54" s="45"/>
      <x:c r="C54" s="45"/>
      <x:c r="D54" s="45"/>
    </x:row>
    <x:row r="55" ht="15" hidden="0" customHeight="1">
      <x:c r="A55" s="90"/>
      <x:c r="B55" s="45"/>
      <x:c r="C55" s="45"/>
      <x:c r="D55" s="45"/>
    </x:row>
    <x:row r="56" ht="15" hidden="0" customHeight="1">
      <x:c r="A56" s="90"/>
      <x:c r="B56" s="45"/>
      <x:c r="C56" s="45"/>
      <x:c r="D56" s="45"/>
    </x:row>
    <x:row r="57" ht="15" hidden="0" customHeight="1">
      <x:c r="A57" s="90"/>
      <x:c r="B57" s="45"/>
      <x:c r="C57" s="45"/>
      <x:c r="D57" s="45"/>
    </x:row>
    <x:row r="58" ht="15" hidden="0" customHeight="1">
      <x:c r="A58" s="90"/>
      <x:c r="B58" s="45"/>
      <x:c r="C58" s="45"/>
      <x:c r="D58" s="45"/>
    </x:row>
    <x:row r="59" ht="15" hidden="0" customHeight="1">
      <x:c r="A59" s="90"/>
      <x:c r="B59" s="45"/>
      <x:c r="C59" s="45"/>
      <x:c r="D59" s="45"/>
    </x:row>
    <x:row r="60" ht="15" hidden="0" customHeight="1">
      <x:c r="A60" s="90"/>
      <x:c r="B60" s="45"/>
      <x:c r="C60" s="45"/>
      <x:c r="D60" s="45"/>
    </x:row>
    <x:row r="61" ht="15" hidden="0" customHeight="1">
      <x:c r="A61" s="90"/>
      <x:c r="B61" s="45"/>
      <x:c r="C61" s="45"/>
      <x:c r="D61" s="45"/>
    </x:row>
    <x:row r="62" ht="15" hidden="0" customHeight="1">
      <x:c r="A62" s="90"/>
      <x:c r="B62" s="45"/>
      <x:c r="C62" s="45"/>
      <x:c r="D62" s="45"/>
    </x:row>
    <x:row r="63" ht="15" hidden="0" customHeight="1">
      <x:c r="A63" s="90"/>
      <x:c r="B63" s="45"/>
      <x:c r="C63" s="45"/>
      <x:c r="D63" s="45"/>
    </x:row>
    <x:row r="64" ht="15" hidden="0" customHeight="1">
      <x:c r="A64" s="90"/>
      <x:c r="B64" s="45"/>
      <x:c r="C64" s="45"/>
      <x:c r="D64" s="45"/>
    </x:row>
    <x:row r="65" ht="15" hidden="0" customHeight="1">
      <x:c r="A65" s="90"/>
      <x:c r="B65" s="45"/>
      <x:c r="C65" s="45"/>
      <x:c r="D65" s="45"/>
    </x:row>
    <x:row r="66" ht="15" hidden="0" customHeight="1">
      <x:c r="A66" s="90"/>
      <x:c r="B66" s="45"/>
      <x:c r="C66" s="45"/>
      <x:c r="D66" s="45"/>
    </x:row>
    <x:row r="67" ht="15" hidden="0" customHeight="1">
      <x:c r="A67" s="90"/>
      <x:c r="B67" s="45"/>
      <x:c r="C67" s="45"/>
      <x:c r="D67" s="45"/>
    </x:row>
    <x:row r="68" ht="15" hidden="0" customHeight="1">
      <x:c r="A68" s="90"/>
      <x:c r="B68" s="45"/>
      <x:c r="C68" s="45"/>
      <x:c r="D68" s="45"/>
    </x:row>
    <x:row r="69" ht="15" hidden="0" customHeight="1">
      <x:c r="A69" s="90"/>
      <x:c r="B69" s="45"/>
      <x:c r="C69" s="45"/>
      <x:c r="D69" s="45"/>
    </x:row>
  </x:sheetData>
  <x:mergeCells>
    <x:mergeCell ref="A1:C1"/>
    <x:mergeCell ref="B3:D3"/>
    <x:mergeCell ref="E3:G3"/>
    <x:mergeCell ref="D1:G1"/>
    <x:mergeCell ref="A2:G2"/>
    <x:mergeCell ref="A47:G47"/>
    <x:mergeCell ref="A48:G48"/>
    <x:mergeCell ref="A49:G49"/>
    <x:mergeCell ref="A50:G50"/>
    <x:mergeCell ref="A51:G51"/>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2890625" defaultRowHeight="15"/>
  <x:cols>
    <x:col min="1" max="1" width="70" hidden="0" customWidth="1"/>
    <x:col min="2" max="7" width="14" hidden="0" customWidth="1"/>
  </x:cols>
  <x:sheetData>
    <x:row r="1" ht="34" hidden="0" customHeight="1">
      <x:c r="A1" s="195" t="s">
        <x:v>39</x:v>
      </x:c>
      <x:c r="B1" s="144"/>
      <x:c r="C1" s="144"/>
      <x:c r="D1" s="144"/>
      <x:c r="E1" s="144"/>
      <x:c r="F1" s="144"/>
      <x:c r="G1" s="144"/>
    </x:row>
    <x:row r="2">
      <x:c r="A2" s="144"/>
      <x:c r="B2" s="144"/>
      <x:c r="C2" s="144"/>
      <x:c r="D2" s="144"/>
      <x:c r="E2" s="144"/>
      <x:c r="F2" s="144"/>
      <x:c r="G2" s="144"/>
    </x:row>
    <x:row r="3" ht="15" hidden="0">
      <x:c r="A3" s="196" t="s">
        <x:v>40</x:v>
      </x:c>
      <x:c r="B3" s="196" t="s">
        <x:v>41</x:v>
      </x:c>
      <x:c r="C3" s="196" t="s">
        <x:v>42</x:v>
      </x:c>
      <x:c r="D3" s="196" t="s">
        <x:v>43</x:v>
      </x:c>
      <x:c r="E3" s="196" t="s">
        <x:v>44</x:v>
      </x:c>
      <x:c r="F3" s="196" t="s">
        <x:v>45</x:v>
      </x:c>
      <x:c r="G3" s="196" t="s">
        <x:v>46</x:v>
      </x:c>
    </x:row>
    <x:row r="4" ht="40" hidden="0" customHeight="1">
      <x:c r="A4" s="197" t="str">
        <x:v>Core team — Carlos/Mateo/Fabio; three full-time roles for 12 months</x:v>
      </x:c>
      <x:c r="B4" s="198" t="n">
        <x:v>10000</x:v>
      </x:c>
      <x:c r="C4" s="198" t="n">
        <x:v>10000</x:v>
      </x:c>
      <x:c r="D4" s="198" t="n">
        <x:v>10000</x:v>
      </x:c>
      <x:c r="E4" s="198" t="n">
        <x:v>10000</x:v>
      </x:c>
      <x:c r="F4" s="199" t="n">
        <x:f aca="0">SUM(B4:E4)</x:f>
        <x:v>40000</x:v>
      </x:c>
      <x:c r="G4" s="200" t="n">
        <x:f aca="0">F4/$F$12</x:f>
        <x:v>0.5714285714285714</x:v>
      </x:c>
    </x:row>
    <x:row r="5" ht="40" hidden="0" customHeight="1">
      <x:c r="A5" s="197" t="str">
        <x:v>Independent security/privacy review and re-review</x:v>
      </x:c>
      <x:c r="B5" s="198" t="n">
        <x:v>1500</x:v>
      </x:c>
      <x:c r="C5" s="198" t="n">
        <x:v>8000</x:v>
      </x:c>
      <x:c r="D5" s="198" t="n">
        <x:v>3500</x:v>
      </x:c>
      <x:c r="E5" s="198" t="n">
        <x:v>2000</x:v>
      </x:c>
      <x:c r="F5" s="199" t="n">
        <x:f aca="0">SUM(B5:E5)</x:f>
        <x:v>15000</x:v>
      </x:c>
      <x:c r="G5" s="200" t="n">
        <x:f aca="0">F5/$F$12</x:f>
        <x:v>0.21428571428571427</x:v>
      </x:c>
    </x:row>
    <x:row r="6" ht="40" hidden="0" customHeight="1">
      <x:c r="A6" s="197" t="str">
        <x:v>Legal — ASP roles, policy/terms, data and jurisdiction</x:v>
      </x:c>
      <x:c r="B6" s="198" t="n">
        <x:v>2500</x:v>
      </x:c>
      <x:c r="C6" s="198" t="n">
        <x:v>1500</x:v>
      </x:c>
      <x:c r="D6" s="198" t="n">
        <x:v>1000</x:v>
      </x:c>
      <x:c r="E6" s="198" t="n">
        <x:v>0</x:v>
      </x:c>
      <x:c r="F6" s="199" t="n">
        <x:f aca="0">SUM(B6:E6)</x:f>
        <x:v>5000</x:v>
      </x:c>
      <x:c r="G6" s="200" t="n">
        <x:f aca="0">F6/$F$12</x:f>
        <x:v>0.07142857142857142</x:v>
      </x:c>
    </x:row>
    <x:row r="7" ht="40" hidden="0" customHeight="1">
      <x:c r="A7" s="197" t="str">
        <x:v>Participation — technical onboarding/gas; no principal</x:v>
      </x:c>
      <x:c r="B7" s="198" t="n">
        <x:v>400</x:v>
      </x:c>
      <x:c r="C7" s="198" t="n">
        <x:v>400</x:v>
      </x:c>
      <x:c r="D7" s="198" t="n">
        <x:v>1200</x:v>
      </x:c>
      <x:c r="E7" s="198" t="n">
        <x:v>1200</x:v>
      </x:c>
      <x:c r="F7" s="199" t="n">
        <x:f aca="0">SUM(B7:E7)</x:f>
        <x:v>3200</x:v>
      </x:c>
      <x:c r="G7" s="200" t="n">
        <x:f aca="0">F7/$F$12</x:f>
        <x:v>0.045714285714285714</x:v>
      </x:c>
    </x:row>
    <x:row r="8" ht="40" hidden="0" customHeight="1">
      <x:c r="A8" s="197" t="str">
        <x:v>Infrastructure — hosting, telemetry and physical test devices</x:v>
      </x:c>
      <x:c r="B8" s="198" t="n">
        <x:v>1000</x:v>
      </x:c>
      <x:c r="C8" s="198" t="n">
        <x:v>700</x:v>
      </x:c>
      <x:c r="D8" s="198" t="n">
        <x:v>650</x:v>
      </x:c>
      <x:c r="E8" s="198" t="n">
        <x:v>650</x:v>
      </x:c>
      <x:c r="F8" s="199" t="n">
        <x:f aca="0">SUM(B8:E8)</x:f>
        <x:v>3000</x:v>
      </x:c>
      <x:c r="G8" s="200" t="n">
        <x:f aca="0">F8/$F$12</x:f>
        <x:v>0.04285714285714286</x:v>
      </x:c>
    </x:row>
    <x:row r="9" ht="40" hidden="0" customHeight="1">
      <x:c r="A9" s="197" t="str">
        <x:v>Partner preparation — staff testing/readiness; no transfers</x:v>
      </x:c>
      <x:c r="B9" s="198" t="n">
        <x:v>200</x:v>
      </x:c>
      <x:c r="C9" s="198" t="n">
        <x:v>300</x:v>
      </x:c>
      <x:c r="D9" s="198" t="n">
        <x:v>600</x:v>
      </x:c>
      <x:c r="E9" s="198" t="n">
        <x:v>500</x:v>
      </x:c>
      <x:c r="F9" s="199" t="n">
        <x:f aca="0">SUM(B9:E9)</x:f>
        <x:v>1600</x:v>
      </x:c>
      <x:c r="G9" s="200" t="n">
        <x:f aca="0">F9/$F$12</x:f>
        <x:v>0.022857142857142857</x:v>
      </x:c>
    </x:row>
    <x:row r="10" ht="40" hidden="0" customHeight="1">
      <x:c r="A10" s="197" t="str">
        <x:v>DPG and open-source documentation</x:v>
      </x:c>
      <x:c r="B10" s="198" t="n">
        <x:v>0</x:v>
      </x:c>
      <x:c r="C10" s="198" t="n">
        <x:v>100</x:v>
      </x:c>
      <x:c r="D10" s="198" t="n">
        <x:v>200</x:v>
      </x:c>
      <x:c r="E10" s="198" t="n">
        <x:v>700</x:v>
      </x:c>
      <x:c r="F10" s="199" t="n">
        <x:f aca="0">SUM(B10:E10)</x:f>
        <x:v>1000</x:v>
      </x:c>
      <x:c r="G10" s="200" t="n">
        <x:f aca="0">F10/$F$12</x:f>
        <x:v>0.014285714285714285</x:v>
      </x:c>
    </x:row>
    <x:row r="11" ht="40" hidden="0" customHeight="1">
      <x:c r="A11" s="201" t="str">
        <x:v>General administration — estimated; eligibility confirmation requested</x:v>
      </x:c>
      <x:c r="B11" s="202" t="n">
        <x:f aca="0">'Tab 2  Company 1-YR Budget'!B36/2</x:f>
        <x:v>300</x:v>
      </x:c>
      <x:c r="C11" s="202" t="n">
        <x:f aca="0">'Tab 2  Company 1-YR Budget'!B36/2</x:f>
        <x:v>300</x:v>
      </x:c>
      <x:c r="D11" s="202" t="n">
        <x:f aca="0">'Tab 2  Company 1-YR Budget'!C36/2</x:f>
        <x:v>300</x:v>
      </x:c>
      <x:c r="E11" s="202" t="n">
        <x:f aca="0">'Tab 2  Company 1-YR Budget'!C36/2</x:f>
        <x:v>300</x:v>
      </x:c>
      <x:c r="F11" s="203" t="n">
        <x:f aca="0">SUM(B11:E11)</x:f>
        <x:v>1200</x:v>
      </x:c>
      <x:c r="G11" s="204" t="n">
        <x:f aca="0">F11/$F$12</x:f>
        <x:v>0.017142857142857144</x:v>
      </x:c>
    </x:row>
    <x:row r="12" ht="28" customHeight="1">
      <x:c r="A12" s="205" t="str">
        <x:v>TOTAL</x:v>
      </x:c>
      <x:c r="B12" s="206" t="n">
        <x:f>SUM(B4:B11)</x:f>
        <x:v>15900</x:v>
      </x:c>
      <x:c r="C12" s="206" t="n">
        <x:f>SUM(C4:C11)</x:f>
        <x:v>21300</x:v>
      </x:c>
      <x:c r="D12" s="206" t="n">
        <x:f>SUM(D4:D11)</x:f>
        <x:v>17450</x:v>
      </x:c>
      <x:c r="E12" s="206" t="n">
        <x:f>SUM(E4:E11)</x:f>
        <x:v>15350</x:v>
      </x:c>
      <x:c r="F12" s="206" t="n">
        <x:f>SUM(F4:F11)</x:f>
        <x:v>70000</x:v>
      </x:c>
      <x:c r="G12" s="207" t="n">
        <x:f>F12/$F$12</x:f>
        <x:v>1</x:v>
      </x:c>
    </x:row>
    <x:row r="13" ht="15" hidden="0">
      <x:c r="A13" s="208" t="s">
        <x:v>47</x:v>
      </x:c>
      <x:c r="B13" s="209" t="n">
        <x:f aca="0">'Tab 1 Project Design Budget'!C6</x:f>
        <x:v>15900</x:v>
      </x:c>
      <x:c r="C13" s="209" t="n">
        <x:f aca="0">'Tab 1 Project Design Budget'!C27</x:f>
        <x:v>21300</x:v>
      </x:c>
      <x:c r="D13" s="209" t="n">
        <x:f aca="0">'Tab 1 Project Design Budget'!C48</x:f>
        <x:v>17450</x:v>
      </x:c>
      <x:c r="E13" s="209" t="n">
        <x:f aca="0">'Tab 1 Project Design Budget'!C69</x:f>
        <x:v>15350</x:v>
      </x:c>
      <x:c r="F13" s="209" t="n">
        <x:f aca="0">'Tab 1 Project Design Budget'!C90</x:f>
        <x:v>70000</x:v>
      </x:c>
      <x:c r="G13" s="144"/>
    </x:row>
    <x:row r="14" ht="15" hidden="0">
      <x:c r="A14" s="208" t="s">
        <x:v>48</x:v>
      </x:c>
      <x:c r="B14" s="199" t="n">
        <x:f aca="0">B12-B13</x:f>
        <x:v>0</x:v>
      </x:c>
      <x:c r="C14" s="199" t="n">
        <x:f aca="0">C12-C13</x:f>
        <x:v>0</x:v>
      </x:c>
      <x:c r="D14" s="199" t="n">
        <x:f aca="0">D12-D13</x:f>
        <x:v>0</x:v>
      </x:c>
      <x:c r="E14" s="199" t="n">
        <x:f aca="0">E12-E13</x:f>
        <x:v>0</x:v>
      </x:c>
      <x:c r="F14" s="199" t="n">
        <x:f aca="0">F12-F13</x:f>
        <x:v>0</x:v>
      </x:c>
      <x:c r="G14" s="144"/>
    </x:row>
    <x:row r="15">
      <x:c r="A15" s="144"/>
      <x:c r="B15" s="144"/>
      <x:c r="C15" s="144"/>
      <x:c r="D15" s="144"/>
      <x:c r="E15" s="144"/>
      <x:c r="F15" s="144"/>
      <x:c r="G15" s="144"/>
    </x:row>
    <x:row r="16" ht="46" hidden="0" customHeight="1">
      <x:c r="A16" s="210" t="str">
        <x:v>Eight categories reconcile to the activity cost-nature splits in Tab 1 column E. Blue amounts are inputs; black totals are formulas; green cells link across sheets. General administration is entered by half-year in the company tab and split equally over its two quarters. No liquidity principal is funded; administration eligibility is unconfirmed.</x:v>
      </x:c>
      <x:c r="B16" s="144"/>
      <x:c r="C16" s="144"/>
      <x:c r="D16" s="144"/>
      <x:c r="E16" s="144"/>
      <x:c r="F16" s="144"/>
      <x:c r="G16" s="144"/>
    </x:row>
  </x:sheetData>
  <x:mergeCells>
    <x:mergeCell ref="A1:G1"/>
    <x:mergeCell ref="A16:G16"/>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13.50390625" defaultRowHeight="15"/>
  <x:cols>
    <x:col min="1" max="1" width="26" style="73" hidden="0" customWidth="1"/>
    <x:col min="2" max="3" width="10.5" style="73" hidden="0" customWidth="1"/>
    <x:col min="4" max="4" width="15.369999885559082" style="73" hidden="0" customWidth="1"/>
    <x:col min="5" max="11" width="10.5" style="73" hidden="0" customWidth="1"/>
    <x:col min="12" max="12" width="14.5" style="73" hidden="0" customWidth="1"/>
    <x:col min="13" max="18" width="10.5" style="73" hidden="0" customWidth="1"/>
    <x:col min="19" max="19" width="15.119999885559082" style="73" hidden="0" customWidth="1"/>
    <x:col min="20" max="20" width="14.630000114440918" style="73" hidden="0" customWidth="1"/>
    <x:col min="21" max="24" width="10.5" style="73" hidden="0" customWidth="1"/>
    <x:col min="25" max="16384" width="13.5" style="73" hidden="0" customWidth="0"/>
  </x:cols>
  <x:sheetData>
    <x:row r="1" ht="39" hidden="0" customHeight="1">
      <x:c r="A1" s="106" t="s">
        <x:v>49</x:v>
      </x:c>
      <x:c r="B1" s="106"/>
      <x:c r="C1" s="106"/>
      <x:c r="D1" s="106"/>
      <x:c r="E1" s="106"/>
      <x:c r="F1" s="106"/>
      <x:c r="G1" s="107"/>
      <x:c r="H1" s="107"/>
      <x:c r="I1" s="107"/>
    </x:row>
    <x:row r="2" ht="15" hidden="0" customHeight="1">
      <x:c r="A2" s="108"/>
      <x:c r="B2" s="108"/>
      <x:c r="C2" s="108"/>
      <x:c r="D2" s="108"/>
      <x:c r="E2" s="108"/>
      <x:c r="F2" s="108"/>
      <x:c r="G2" s="107"/>
      <x:c r="H2" s="107"/>
      <x:c r="I2" s="107"/>
    </x:row>
    <x:row r="3" ht="15" hidden="0" customHeight="1">
      <x:c r="A3" s="109" t="s">
        <x:v>50</x:v>
      </x:c>
      <x:c r="B3" s="109"/>
      <x:c r="C3" s="109"/>
    </x:row>
    <x:row r="4" ht="49.5" hidden="0" customHeight="1">
      <x:c r="A4" s="110"/>
      <x:c r="B4" s="111" t="s">
        <x:v>26</x:v>
      </x:c>
      <x:c r="C4" s="111" t="s">
        <x:v>27</x:v>
      </x:c>
      <x:c r="D4" s="112" t="s">
        <x:v>51</x:v>
      </x:c>
      <x:c r="E4" s="113"/>
      <x:c r="F4" s="113"/>
      <x:c r="G4" s="113"/>
      <x:c r="H4" s="113"/>
      <x:c r="I4" s="113"/>
      <x:c r="J4" s="113"/>
      <x:c r="K4" s="113"/>
      <x:c r="L4" s="113"/>
      <x:c r="M4" s="113"/>
      <x:c r="N4" s="113"/>
      <x:c r="O4" s="113"/>
      <x:c r="P4" s="113"/>
      <x:c r="Q4" s="113"/>
      <x:c r="R4" s="113"/>
      <x:c r="S4" s="114"/>
      <x:c r="T4" s="114"/>
    </x:row>
    <x:row r="5" ht="15" hidden="0" customHeight="1">
      <x:c r="A5" s="115" t="s">
        <x:v>30</x:v>
      </x:c>
      <x:c r="B5" s="115"/>
      <x:c r="C5" s="115"/>
      <x:c r="D5" s="115"/>
    </x:row>
    <x:row r="6" ht="15" hidden="0" customHeight="1">
      <x:c r="A6" s="116" t="s">
        <x:v>52</x:v>
      </x:c>
      <x:c r="B6" s="117" t="n">
        <x:f aca="0">B7+B8</x:f>
        <x:v>5000</x:v>
      </x:c>
      <x:c r="C6" s="117" t="n">
        <x:f aca="0">C7+C8</x:f>
        <x:v>7500</x:v>
      </x:c>
      <x:c r="D6" s="118" t="n">
        <x:f aca="0">SUM(B6:C6)</x:f>
        <x:v>12500</x:v>
      </x:c>
    </x:row>
    <x:row r="7" s="122" customFormat="1" ht="14.25" hidden="0" customHeight="1">
      <x:c r="A7" s="119" t="s">
        <x:v>53</x:v>
      </x:c>
      <x:c r="B7" s="120" t="n">
        <x:v>5000</x:v>
      </x:c>
      <x:c r="C7" s="120" t="n">
        <x:v>7500</x:v>
      </x:c>
      <x:c r="D7" s="121"/>
    </x:row>
    <x:row r="8" s="122" customFormat="1" ht="14.25" hidden="0" customHeight="1">
      <x:c r="A8" s="119" t="s">
        <x:v>54</x:v>
      </x:c>
      <x:c r="B8" s="123"/>
      <x:c r="C8" s="123"/>
      <x:c r="D8" s="121"/>
    </x:row>
    <x:row r="9" ht="15" hidden="0" customHeight="1">
      <x:c r="A9" s="124"/>
      <x:c r="B9" s="117"/>
      <x:c r="C9" s="117"/>
      <x:c r="D9" s="118"/>
    </x:row>
    <x:row r="10" ht="15" hidden="0" customHeight="1">
      <x:c r="A10" s="116" t="s">
        <x:v>55</x:v>
      </x:c>
      <x:c r="B10" s="117" t="n">
        <x:f aca="0">B11+B12+B13+B14</x:f>
        <x:v>65000</x:v>
      </x:c>
      <x:c r="C10" s="117" t="n">
        <x:f aca="0">C11+C12+C13+C14</x:f>
        <x:v>65000</x:v>
      </x:c>
      <x:c r="D10" s="118" t="n">
        <x:f aca="0">SUM(B10:C10)</x:f>
        <x:v>130000</x:v>
      </x:c>
    </x:row>
    <x:row r="11" s="122" customFormat="1" ht="14.25" hidden="0" customHeight="1">
      <x:c r="A11" s="119" t="s">
        <x:v>56</x:v>
      </x:c>
      <x:c r="B11" s="120" t="n">
        <x:v>20000</x:v>
      </x:c>
      <x:c r="C11" s="120" t="n">
        <x:v>20000</x:v>
      </x:c>
      <x:c r="D11" s="121"/>
    </x:row>
    <x:row r="12" s="122" customFormat="1" ht="14.25" hidden="0" customHeight="1">
      <x:c r="A12" s="125" t="s">
        <x:v>57</x:v>
      </x:c>
      <x:c r="B12" s="120" t="n">
        <x:v>45000</x:v>
      </x:c>
      <x:c r="C12" s="120" t="n">
        <x:v>45000</x:v>
      </x:c>
      <x:c r="D12" s="121"/>
    </x:row>
    <x:row r="13" s="122" customFormat="1" ht="14.25" hidden="0" customHeight="1">
      <x:c r="A13" s="119" t="s">
        <x:v>58</x:v>
      </x:c>
      <x:c r="B13" s="120" t="n">
        <x:v>0</x:v>
      </x:c>
      <x:c r="C13" s="120" t="n">
        <x:v>0</x:v>
      </x:c>
      <x:c r="D13" s="121"/>
    </x:row>
    <x:row r="14" s="122" customFormat="1" ht="14.25" hidden="0" customHeight="1">
      <x:c r="A14" s="119" t="s">
        <x:v>54</x:v>
      </x:c>
      <x:c r="B14" s="123"/>
      <x:c r="C14" s="123"/>
      <x:c r="D14" s="121"/>
    </x:row>
    <x:row r="15" ht="15" hidden="0" customHeight="1">
      <x:c r="A15" s="124"/>
      <x:c r="B15" s="117"/>
      <x:c r="C15" s="117"/>
      <x:c r="D15" s="118"/>
    </x:row>
    <x:row r="16" ht="15" hidden="0" customHeight="1">
      <x:c r="A16" s="126" t="s">
        <x:v>33</x:v>
      </x:c>
      <x:c r="B16" s="55" t="n">
        <x:f aca="0">B6+B10</x:f>
        <x:v>70000</x:v>
      </x:c>
      <x:c r="C16" s="55" t="n">
        <x:f aca="0">C6+C10</x:f>
        <x:v>72500</x:v>
      </x:c>
      <x:c r="D16" s="127" t="n">
        <x:f aca="0">SUM(B16:C16)</x:f>
        <x:v>142500</x:v>
      </x:c>
    </x:row>
    <x:row r="17" ht="15" hidden="0" customHeight="1">
      <x:c r="A17" s="124"/>
      <x:c r="B17" s="54"/>
      <x:c r="C17" s="54"/>
      <x:c r="D17" s="128"/>
    </x:row>
    <x:row r="18" ht="15" hidden="0" customHeight="1">
      <x:c r="A18" s="129" t="s">
        <x:v>59</x:v>
      </x:c>
      <x:c r="B18" s="129"/>
      <x:c r="C18" s="129"/>
      <x:c r="D18" s="129"/>
    </x:row>
    <x:row r="19" s="122" customFormat="1" ht="14.25" hidden="0" customHeight="1">
      <x:c r="A19" s="119" t="s">
        <x:v>60</x:v>
      </x:c>
      <x:c r="B19" s="120" t="n">
        <x:v>50000</x:v>
      </x:c>
      <x:c r="C19" s="120" t="n">
        <x:v>60000</x:v>
      </x:c>
      <x:c r="D19" s="121"/>
    </x:row>
    <x:row r="20" s="122" customFormat="1" ht="14.25" hidden="0" customHeight="1">
      <x:c r="A20" s="119" t="s">
        <x:v>61</x:v>
      </x:c>
      <x:c r="B20" s="120" t="n">
        <x:v>5000</x:v>
      </x:c>
      <x:c r="C20" s="120" t="n">
        <x:v>5000</x:v>
      </x:c>
      <x:c r="D20" s="121"/>
    </x:row>
    <x:row r="21" s="122" customFormat="1" ht="14.25" hidden="0" customHeight="1">
      <x:c r="A21" s="119" t="s">
        <x:v>62</x:v>
      </x:c>
      <x:c r="B21" s="120" t="n">
        <x:v>1000</x:v>
      </x:c>
      <x:c r="C21" s="120" t="n">
        <x:v>1000</x:v>
      </x:c>
      <x:c r="D21" s="121"/>
    </x:row>
    <x:row r="22" s="122" customFormat="1" ht="14.25" hidden="0" customHeight="1">
      <x:c r="A22" s="119" t="s">
        <x:v>63</x:v>
      </x:c>
      <x:c r="B22" s="120" t="n">
        <x:v>4500</x:v>
      </x:c>
      <x:c r="C22" s="120" t="n">
        <x:v>6000</x:v>
      </x:c>
      <x:c r="D22" s="121"/>
    </x:row>
    <x:row r="23" s="122" customFormat="1" ht="14.25" hidden="0" customHeight="1">
      <x:c r="A23" s="119" t="s">
        <x:v>54</x:v>
      </x:c>
      <x:c r="B23" s="123"/>
      <x:c r="C23" s="123"/>
      <x:c r="D23" s="121"/>
    </x:row>
    <x:row r="24" ht="15" hidden="0" customHeight="1">
      <x:c r="A24" s="130"/>
      <x:c r="B24" s="117"/>
      <x:c r="C24" s="117"/>
      <x:c r="D24" s="118"/>
    </x:row>
    <x:row r="25" ht="15" hidden="0" customHeight="1">
      <x:c r="A25" s="126" t="s">
        <x:v>34</x:v>
      </x:c>
      <x:c r="B25" s="55" t="n">
        <x:f aca="0">SUM(B19:B23)</x:f>
        <x:v>60500</x:v>
      </x:c>
      <x:c r="C25" s="55" t="n">
        <x:f aca="0">SUM(C19:C23)</x:f>
        <x:v>72000</x:v>
      </x:c>
      <x:c r="D25" s="127" t="n">
        <x:f aca="0">SUM(B25:C25)</x:f>
        <x:v>132500</x:v>
      </x:c>
    </x:row>
    <x:row r="26" s="122" customFormat="1" ht="14.25" hidden="0" customHeight="1">
      <x:c r="A26" s="131"/>
      <x:c r="B26" s="132"/>
      <x:c r="C26" s="132"/>
      <x:c r="D26" s="133"/>
    </x:row>
    <x:row r="27" s="122" customFormat="1" ht="14.25" hidden="0" customHeight="1">
      <x:c r="A27" s="119" t="s">
        <x:v>35</x:v>
      </x:c>
      <x:c r="B27" s="123" t="n">
        <x:f aca="0">B16-B25</x:f>
        <x:v>9500</x:v>
      </x:c>
      <x:c r="C27" s="123" t="n">
        <x:f aca="0">C16-C25</x:f>
        <x:v>500</x:v>
      </x:c>
      <x:c r="D27" s="121" t="n">
        <x:f aca="0">D16-D25</x:f>
        <x:v>10000</x:v>
      </x:c>
    </x:row>
    <x:row r="28" s="122" customFormat="1" ht="15" hidden="0">
      <x:c r="A28" s="134" t="s">
        <x:v>36</x:v>
      </x:c>
      <x:c r="B28" s="135"/>
      <x:c r="C28" s="135"/>
      <x:c r="D28" s="136"/>
    </x:row>
    <x:row r="29" s="122" customFormat="1" ht="14.25" hidden="0" customHeight="1">
      <x:c r="A29" s="137"/>
      <x:c r="B29" s="137"/>
      <x:c r="C29" s="137"/>
      <x:c r="D29" s="137"/>
    </x:row>
    <x:row r="30" ht="15" hidden="0" customHeight="1">
      <x:c r="A30" s="138" t="s">
        <x:v>37</x:v>
      </x:c>
      <x:c r="B30" s="55" t="n">
        <x:f aca="0">B27-B28</x:f>
        <x:v>9500</x:v>
      </x:c>
      <x:c r="C30" s="55" t="n">
        <x:f aca="0">C27-C28</x:f>
        <x:v>500</x:v>
      </x:c>
      <x:c r="D30" s="55" t="n">
        <x:f aca="0">SUM(B30:C30)</x:f>
        <x:v>10000</x:v>
      </x:c>
    </x:row>
    <x:row r="37" ht="15" hidden="0" customHeight="1">
      <x:c r="A37" s="139"/>
    </x:row>
  </x:sheetData>
  <x:mergeCells>
    <x:mergeCell ref="A1:F1"/>
    <x:mergeCell ref="A3:C3"/>
    <x:mergeCell ref="A5:D5"/>
    <x:mergeCell ref="A18:D18"/>
  </x:mergeCells>
  <x:pageMargins left="0.7" right="0.7" top="0.75" bottom="0.75" header="0.3" footer="0.3"/>
</x:worksheet>
</file>