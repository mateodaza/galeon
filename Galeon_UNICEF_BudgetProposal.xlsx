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800" windowWidth="29040" windowHeight="15840" tabRatio="600" firstSheet="0" activeTab="0" autoFilterDateGrouping="1"/>
  </bookViews>
  <sheets>
    <sheet name="Tab 1 Project Design Budget" sheetId="1" state="visible" r:id="rId1"/>
    <sheet name="Tab 2  Company 1-YR Budget" sheetId="2" state="visible" r:id="rId2"/>
    <sheet name="EXAMPLE COMPANY 1YR BUDGET" sheetId="3" state="visible" r:id="rId3"/>
  </sheets>
  <definedNames>
    <definedName name="_xlnm.Print_Area" localSheetId="2">'EXAMPLE COMPANY 1YR BUDGET'!$A$1:$F$30</definedName>
  </definedNames>
  <calcPr calcId="191028" fullCalcOnLoad="1"/>
</workbook>
</file>

<file path=xl/styles.xml><?xml version="1.0" encoding="utf-8"?>
<styleSheet xmlns="http://schemas.openxmlformats.org/spreadsheetml/2006/main">
  <numFmts count="2">
    <numFmt numFmtId="164" formatCode="&quot;$&quot;#,##0.00"/>
    <numFmt numFmtId="165" formatCode="&quot;$&quot;#,##0.000000"/>
  </numFmts>
  <fonts count="25">
    <font>
      <name val="Times New Roman"/>
      <family val="2"/>
      <color theme="1"/>
      <sz val="12"/>
    </font>
    <font>
      <name val="Calibri"/>
      <family val="2"/>
      <color rgb="FF000000"/>
      <sz val="12"/>
    </font>
    <font>
      <name val="Calibri"/>
      <family val="2"/>
      <b val="1"/>
      <color rgb="FF000000"/>
      <sz val="14"/>
    </font>
    <font>
      <name val="Calibri"/>
      <family val="2"/>
      <b val="1"/>
      <color rgb="FF000000"/>
      <sz val="12"/>
      <u val="single"/>
    </font>
    <font>
      <name val="Calibri"/>
      <family val="2"/>
      <b val="1"/>
      <color rgb="FF000000"/>
      <sz val="12"/>
    </font>
    <font>
      <name val="Calibri"/>
      <family val="2"/>
      <color rgb="FF000000"/>
      <sz val="12"/>
    </font>
    <font>
      <name val="Calibri"/>
      <family val="2"/>
      <color rgb="FF000000"/>
      <sz val="14"/>
    </font>
    <font>
      <name val="Calibri"/>
      <family val="2"/>
      <color rgb="FF000000"/>
      <sz val="11"/>
    </font>
    <font>
      <name val="Calibri"/>
      <family val="2"/>
      <b val="1"/>
      <color rgb="FF000000"/>
      <sz val="11"/>
    </font>
    <font>
      <name val="Calibri"/>
      <family val="2"/>
      <sz val="11"/>
    </font>
    <font>
      <name val="Calibri"/>
      <family val="2"/>
      <i val="1"/>
      <sz val="12"/>
    </font>
    <font>
      <name val="Calibri"/>
      <family val="2"/>
      <i val="1"/>
      <color rgb="FF000000"/>
      <sz val="11"/>
    </font>
    <font>
      <name val="Calibri"/>
      <family val="2"/>
      <b val="1"/>
      <i val="1"/>
      <color rgb="FFFF0000"/>
      <sz val="12"/>
    </font>
    <font>
      <name val="Calibri"/>
      <family val="2"/>
      <color rgb="FFFF0000"/>
      <sz val="12"/>
    </font>
    <font>
      <name val="Calibri"/>
      <family val="2"/>
      <b val="1"/>
      <color rgb="FF4BACC6"/>
      <sz val="12"/>
      <u val="single"/>
    </font>
    <font>
      <name val="Calibri"/>
      <family val="2"/>
      <b val="1"/>
      <color rgb="FF000000"/>
      <sz val="12"/>
      <u val="double"/>
    </font>
    <font>
      <name val="Calibri"/>
      <family val="2"/>
      <color theme="1"/>
      <sz val="12"/>
    </font>
    <font>
      <name val="Calibri"/>
      <family val="2"/>
      <color theme="1"/>
      <sz val="12"/>
      <u val="single"/>
    </font>
    <font>
      <name val="Calibri"/>
      <family val="2"/>
      <b val="1"/>
      <color theme="1"/>
      <sz val="11"/>
    </font>
    <font>
      <name val="Calibri"/>
      <family val="2"/>
      <b val="1"/>
      <sz val="12"/>
    </font>
    <font>
      <name val="Times New Roman"/>
      <family val="2"/>
      <sz val="8"/>
    </font>
    <font>
      <name val="Times New Roman"/>
      <family val="2"/>
      <color theme="10"/>
      <sz val="12"/>
      <u val="single"/>
    </font>
    <font>
      <name val="Times New Roman"/>
      <family val="2"/>
      <color theme="11"/>
      <sz val="12"/>
      <u val="single"/>
    </font>
    <font>
      <name val="Calibri"/>
      <color rgb="FF000000"/>
      <sz val="12"/>
    </font>
    <font>
      <name val="Calibri"/>
      <color rgb="FF000000"/>
      <sz val="12"/>
      <u val="single"/>
    </font>
  </fonts>
  <fills count="7">
    <fill>
      <patternFill/>
    </fill>
    <fill>
      <patternFill patternType="gray125"/>
    </fill>
    <fill>
      <patternFill patternType="solid">
        <fgColor theme="2"/>
        <bgColor indexed="64"/>
      </patternFill>
    </fill>
    <fill>
      <patternFill patternType="solid">
        <fgColor rgb="FFB6DDE8"/>
        <bgColor rgb="FFB6DDE8"/>
      </patternFill>
    </fill>
    <fill>
      <patternFill patternType="solid">
        <fgColor theme="8" tint="0.7999816888943144"/>
        <bgColor indexed="64"/>
      </patternFill>
    </fill>
    <fill>
      <patternFill patternType="solid">
        <fgColor rgb="FFB6DDE8"/>
        <bgColor indexed="64"/>
      </patternFill>
    </fill>
    <fill>
      <patternFill patternType="solid">
        <fgColor rgb="FFFFFF00"/>
        <bgColor indexed="64"/>
      </patternFill>
    </fill>
  </fills>
  <borders count="2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medium">
        <color auto="1"/>
      </left>
      <right style="medium">
        <color auto="1"/>
      </right>
      <top style="thin">
        <color auto="1"/>
      </top>
      <bottom style="thin">
        <color auto="1"/>
      </bottom>
      <diagonal/>
    </border>
    <border>
      <left/>
      <right style="medium">
        <color auto="1"/>
      </right>
      <top style="thin">
        <color auto="1"/>
      </top>
      <bottom/>
      <diagonal/>
    </border>
  </borders>
  <cellStyleXfs count="5">
    <xf numFmtId="0" fontId="0" fillId="0" borderId="0"/>
    <xf numFmtId="0" fontId="5" fillId="0" borderId="0"/>
    <xf numFmtId="0" fontId="5" fillId="0" borderId="0"/>
    <xf numFmtId="0" fontId="21" fillId="0" borderId="0"/>
    <xf numFmtId="0" fontId="22" fillId="0" borderId="0"/>
  </cellStyleXfs>
  <cellXfs count="148">
    <xf numFmtId="0" fontId="0" fillId="0" borderId="0" pivotButton="0" quotePrefix="0" xfId="0"/>
    <xf numFmtId="0" fontId="1" fillId="0" borderId="0" pivotButton="0" quotePrefix="0" xfId="1"/>
    <xf numFmtId="0" fontId="4" fillId="0" borderId="0" pivotButton="0" quotePrefix="0" xfId="1"/>
    <xf numFmtId="0" fontId="2" fillId="0" borderId="0" pivotButton="0" quotePrefix="0" xfId="1"/>
    <xf numFmtId="0" fontId="6" fillId="0" borderId="0" pivotButton="0" quotePrefix="0" xfId="1"/>
    <xf numFmtId="0" fontId="5" fillId="0" borderId="0" applyProtection="1" pivotButton="0" quotePrefix="0" xfId="2">
      <protection locked="0" hidden="0"/>
    </xf>
    <xf numFmtId="0" fontId="9" fillId="0" borderId="0" applyProtection="1" pivotButton="0" quotePrefix="0" xfId="2">
      <protection locked="0" hidden="0"/>
    </xf>
    <xf numFmtId="0" fontId="9" fillId="0" borderId="0" pivotButton="0" quotePrefix="0" xfId="2"/>
    <xf numFmtId="0" fontId="5" fillId="0" borderId="0" pivotButton="0" quotePrefix="0" xfId="2"/>
    <xf numFmtId="0" fontId="4" fillId="0" borderId="0" applyAlignment="1" pivotButton="0" quotePrefix="0" xfId="2">
      <alignment horizontal="center" wrapText="1"/>
    </xf>
    <xf numFmtId="0" fontId="4" fillId="0" borderId="0" applyAlignment="1" pivotButton="0" quotePrefix="0" xfId="2">
      <alignment horizontal="center"/>
    </xf>
    <xf numFmtId="0" fontId="4" fillId="0" borderId="0" pivotButton="0" quotePrefix="0" xfId="2"/>
    <xf numFmtId="0" fontId="2" fillId="0" borderId="0" applyAlignment="1" pivotButton="0" quotePrefix="0" xfId="1">
      <alignment horizontal="left"/>
    </xf>
    <xf numFmtId="0" fontId="13" fillId="0" borderId="0" applyAlignment="1" pivotButton="0" quotePrefix="0" xfId="2">
      <alignment wrapText="1"/>
    </xf>
    <xf numFmtId="0" fontId="4" fillId="0" borderId="10" applyAlignment="1" pivotButton="0" quotePrefix="0" xfId="2">
      <alignment horizontal="center" wrapText="1"/>
    </xf>
    <xf numFmtId="0" fontId="4" fillId="0" borderId="11" applyAlignment="1" pivotButton="0" quotePrefix="0" xfId="2">
      <alignment horizontal="center" wrapText="1"/>
    </xf>
    <xf numFmtId="0" fontId="1" fillId="4" borderId="1" applyAlignment="1" pivotButton="0" quotePrefix="0" xfId="1">
      <alignment vertical="top" wrapText="1"/>
    </xf>
    <xf numFmtId="0" fontId="7" fillId="0" borderId="1" applyProtection="1" pivotButton="0" quotePrefix="0" xfId="2">
      <protection locked="0" hidden="0"/>
    </xf>
    <xf numFmtId="0" fontId="7" fillId="0" borderId="1" pivotButton="0" quotePrefix="0" xfId="2"/>
    <xf numFmtId="0" fontId="9" fillId="0" borderId="1" applyProtection="1" pivotButton="0" quotePrefix="0" xfId="2">
      <protection locked="0" hidden="0"/>
    </xf>
    <xf numFmtId="0" fontId="9" fillId="0" borderId="1" pivotButton="0" quotePrefix="0" xfId="2"/>
    <xf numFmtId="164" fontId="4" fillId="0" borderId="2" pivotButton="0" quotePrefix="0" xfId="2"/>
    <xf numFmtId="164" fontId="4" fillId="3" borderId="2" pivotButton="0" quotePrefix="0" xfId="2"/>
    <xf numFmtId="164" fontId="3" fillId="0" borderId="2" pivotButton="0" quotePrefix="0" xfId="2"/>
    <xf numFmtId="164" fontId="4" fillId="3" borderId="1" pivotButton="0" quotePrefix="0" xfId="2"/>
    <xf numFmtId="0" fontId="4" fillId="2" borderId="1" applyAlignment="1" pivotButton="0" quotePrefix="0" xfId="1">
      <alignment horizontal="left"/>
    </xf>
    <xf numFmtId="0" fontId="7" fillId="0" borderId="0" applyProtection="1" pivotButton="0" quotePrefix="0" xfId="2">
      <protection locked="0" hidden="0"/>
    </xf>
    <xf numFmtId="0" fontId="1" fillId="0" borderId="0" applyProtection="1" pivotButton="0" quotePrefix="0" xfId="2">
      <protection locked="0" hidden="0"/>
    </xf>
    <xf numFmtId="0" fontId="1" fillId="0" borderId="1" applyProtection="1" pivotButton="0" quotePrefix="0" xfId="2">
      <protection locked="0" hidden="0"/>
    </xf>
    <xf numFmtId="0" fontId="4" fillId="0" borderId="1" applyAlignment="1" pivotButton="0" quotePrefix="0" xfId="2">
      <alignment horizontal="center" wrapText="1"/>
    </xf>
    <xf numFmtId="0" fontId="4" fillId="0" borderId="1" applyAlignment="1" pivotButton="0" quotePrefix="0" xfId="2">
      <alignment wrapText="1"/>
    </xf>
    <xf numFmtId="164" fontId="1" fillId="0" borderId="1" pivotButton="0" quotePrefix="0" xfId="2"/>
    <xf numFmtId="164" fontId="1" fillId="3" borderId="1" pivotButton="0" quotePrefix="0" xfId="2"/>
    <xf numFmtId="0" fontId="14" fillId="0" borderId="1" applyAlignment="1" pivotButton="0" quotePrefix="0" xfId="2">
      <alignment wrapText="1"/>
    </xf>
    <xf numFmtId="164" fontId="7" fillId="0" borderId="2" pivotButton="0" quotePrefix="0" xfId="2"/>
    <xf numFmtId="2" fontId="9" fillId="0" borderId="1" pivotButton="0" quotePrefix="0" xfId="2"/>
    <xf numFmtId="2" fontId="7" fillId="0" borderId="5" pivotButton="0" quotePrefix="0" xfId="2"/>
    <xf numFmtId="0" fontId="7" fillId="0" borderId="0" pivotButton="0" quotePrefix="0" xfId="2"/>
    <xf numFmtId="2" fontId="7" fillId="0" borderId="1" pivotButton="0" quotePrefix="0" xfId="2"/>
    <xf numFmtId="164" fontId="7" fillId="0" borderId="2" applyAlignment="1" pivotButton="0" quotePrefix="0" xfId="2">
      <alignment wrapText="1"/>
    </xf>
    <xf numFmtId="164" fontId="1" fillId="3" borderId="5" pivotButton="0" quotePrefix="0" xfId="2"/>
    <xf numFmtId="0" fontId="1" fillId="0" borderId="0" pivotButton="0" quotePrefix="0" xfId="2"/>
    <xf numFmtId="164" fontId="8" fillId="0" borderId="2" pivotButton="0" quotePrefix="0" xfId="2"/>
    <xf numFmtId="164" fontId="7" fillId="0" borderId="1" pivotButton="0" quotePrefix="0" xfId="2"/>
    <xf numFmtId="164" fontId="7" fillId="0" borderId="5" pivotButton="0" quotePrefix="0" xfId="2"/>
    <xf numFmtId="164" fontId="7" fillId="0" borderId="12" pivotButton="0" quotePrefix="0" xfId="2"/>
    <xf numFmtId="164" fontId="7" fillId="0" borderId="6" pivotButton="0" quotePrefix="0" xfId="2"/>
    <xf numFmtId="164" fontId="7" fillId="0" borderId="7" pivotButton="0" quotePrefix="0" xfId="2"/>
    <xf numFmtId="164" fontId="7" fillId="0" borderId="0" pivotButton="0" quotePrefix="0" xfId="2"/>
    <xf numFmtId="0" fontId="7" fillId="0" borderId="1" applyAlignment="1" applyProtection="1" pivotButton="0" quotePrefix="0" xfId="1">
      <alignment horizontal="left"/>
      <protection locked="0" hidden="0"/>
    </xf>
    <xf numFmtId="0" fontId="7" fillId="0" borderId="1" applyAlignment="1" applyProtection="1" pivotButton="0" quotePrefix="0" xfId="1">
      <alignment wrapText="1"/>
      <protection locked="0" hidden="0"/>
    </xf>
    <xf numFmtId="164" fontId="4" fillId="5" borderId="1" applyProtection="1" pivotButton="0" quotePrefix="0" xfId="1">
      <protection locked="0" hidden="0"/>
    </xf>
    <xf numFmtId="0" fontId="7" fillId="0" borderId="1" applyProtection="1" pivotButton="0" quotePrefix="0" xfId="1">
      <protection locked="0" hidden="0"/>
    </xf>
    <xf numFmtId="0" fontId="1" fillId="0" borderId="0" applyProtection="1" pivotButton="0" quotePrefix="0" xfId="1">
      <protection locked="0" hidden="0"/>
    </xf>
    <xf numFmtId="164" fontId="15" fillId="5" borderId="0" applyProtection="1" pivotButton="0" quotePrefix="0" xfId="1">
      <protection locked="0" hidden="0"/>
    </xf>
    <xf numFmtId="0" fontId="12" fillId="0" borderId="0" applyAlignment="1" pivotButton="0" quotePrefix="0" xfId="2">
      <alignment horizontal="left" wrapText="1"/>
    </xf>
    <xf numFmtId="0" fontId="1" fillId="0" borderId="9" pivotButton="0" quotePrefix="0" xfId="2"/>
    <xf numFmtId="2" fontId="1" fillId="0" borderId="1" pivotButton="0" quotePrefix="0" xfId="2"/>
    <xf numFmtId="2" fontId="1" fillId="0" borderId="5" pivotButton="0" quotePrefix="0" xfId="2"/>
    <xf numFmtId="164" fontId="1" fillId="0" borderId="2" pivotButton="0" quotePrefix="0" xfId="2"/>
    <xf numFmtId="164" fontId="1" fillId="0" borderId="5" pivotButton="0" quotePrefix="0" xfId="2"/>
    <xf numFmtId="0" fontId="8" fillId="0" borderId="1" applyAlignment="1" applyProtection="1" pivotButton="0" quotePrefix="0" xfId="1">
      <alignment horizontal="left"/>
      <protection locked="0" hidden="0"/>
    </xf>
    <xf numFmtId="0" fontId="7" fillId="0" borderId="3" applyAlignment="1" applyProtection="1" pivotButton="0" quotePrefix="0" xfId="1">
      <alignment wrapText="1"/>
      <protection locked="0" hidden="0"/>
    </xf>
    <xf numFmtId="0" fontId="1" fillId="0" borderId="1" applyProtection="1" pivotButton="0" quotePrefix="0" xfId="1">
      <protection locked="0" hidden="0"/>
    </xf>
    <xf numFmtId="0" fontId="1" fillId="0" borderId="1" pivotButton="0" quotePrefix="0" xfId="1"/>
    <xf numFmtId="0" fontId="6" fillId="0" borderId="1" pivotButton="0" quotePrefix="0" xfId="1"/>
    <xf numFmtId="0" fontId="1" fillId="0" borderId="1" applyAlignment="1" applyProtection="1" pivotButton="0" quotePrefix="0" xfId="2">
      <alignment wrapText="1"/>
      <protection locked="0" hidden="0"/>
    </xf>
    <xf numFmtId="0" fontId="11" fillId="0" borderId="1" applyAlignment="1" applyProtection="1" pivotButton="0" quotePrefix="0" xfId="2">
      <alignment wrapText="1"/>
      <protection locked="0" hidden="0"/>
    </xf>
    <xf numFmtId="0" fontId="7" fillId="0" borderId="1" applyAlignment="1" applyProtection="1" pivotButton="0" quotePrefix="0" xfId="2">
      <alignment wrapText="1"/>
      <protection locked="0" hidden="0"/>
    </xf>
    <xf numFmtId="0" fontId="4" fillId="3" borderId="1" applyAlignment="1" pivotButton="0" quotePrefix="0" xfId="2">
      <alignment wrapText="1"/>
    </xf>
    <xf numFmtId="0" fontId="7" fillId="0" borderId="1" applyAlignment="1" pivotButton="0" quotePrefix="0" xfId="2">
      <alignment wrapText="1"/>
    </xf>
    <xf numFmtId="0" fontId="8" fillId="0" borderId="1" applyAlignment="1" pivotButton="0" quotePrefix="0" xfId="2">
      <alignment wrapText="1"/>
    </xf>
    <xf numFmtId="0" fontId="7" fillId="0" borderId="0" applyAlignment="1" pivotButton="0" quotePrefix="0" xfId="2">
      <alignment wrapText="1"/>
    </xf>
    <xf numFmtId="0" fontId="7" fillId="0" borderId="0" applyAlignment="1" applyProtection="1" pivotButton="0" quotePrefix="0" xfId="2">
      <alignment wrapText="1"/>
      <protection locked="0" hidden="0"/>
    </xf>
    <xf numFmtId="0" fontId="8" fillId="0" borderId="0" applyAlignment="1" applyProtection="1" pivotButton="0" quotePrefix="0" xfId="2">
      <alignment wrapText="1"/>
      <protection locked="0" hidden="0"/>
    </xf>
    <xf numFmtId="0" fontId="5" fillId="0" borderId="0" applyAlignment="1" applyProtection="1" pivotButton="0" quotePrefix="0" xfId="2">
      <alignment wrapText="1"/>
      <protection locked="0" hidden="0"/>
    </xf>
    <xf numFmtId="0" fontId="18" fillId="0" borderId="0" pivotButton="0" quotePrefix="0" xfId="0"/>
    <xf numFmtId="0" fontId="7" fillId="4" borderId="3" applyAlignment="1" pivotButton="0" quotePrefix="0" xfId="1">
      <alignment vertical="center" wrapText="1"/>
    </xf>
    <xf numFmtId="0" fontId="4" fillId="4" borderId="14" applyAlignment="1" pivotButton="0" quotePrefix="0" xfId="1">
      <alignment vertical="top" wrapText="1"/>
    </xf>
    <xf numFmtId="0" fontId="18" fillId="0" borderId="0" applyAlignment="1" pivotButton="0" quotePrefix="0" xfId="0">
      <alignment horizontal="left"/>
    </xf>
    <xf numFmtId="4" fontId="1" fillId="0" borderId="1" pivotButton="0" quotePrefix="0" xfId="2"/>
    <xf numFmtId="4" fontId="9" fillId="0" borderId="1" applyProtection="1" pivotButton="0" quotePrefix="0" xfId="2">
      <protection locked="0" hidden="0"/>
    </xf>
    <xf numFmtId="4" fontId="1" fillId="3" borderId="1" pivotButton="0" quotePrefix="0" xfId="2"/>
    <xf numFmtId="4" fontId="9" fillId="0" borderId="1" pivotButton="0" quotePrefix="0" xfId="2"/>
    <xf numFmtId="4" fontId="1" fillId="0" borderId="1" applyProtection="1" pivotButton="0" quotePrefix="0" xfId="2">
      <protection locked="0" hidden="0"/>
    </xf>
    <xf numFmtId="4" fontId="7" fillId="0" borderId="1" pivotButton="0" quotePrefix="0" xfId="2"/>
    <xf numFmtId="4" fontId="7" fillId="0" borderId="1" applyProtection="1" pivotButton="0" quotePrefix="0" xfId="2">
      <protection locked="0" hidden="0"/>
    </xf>
    <xf numFmtId="4" fontId="9" fillId="0" borderId="0" pivotButton="0" quotePrefix="0" xfId="2"/>
    <xf numFmtId="0" fontId="4" fillId="5" borderId="1" applyAlignment="1" pivotButton="0" quotePrefix="0" xfId="2">
      <alignment horizontal="center" wrapText="1"/>
    </xf>
    <xf numFmtId="0" fontId="7" fillId="5" borderId="1" applyProtection="1" pivotButton="0" quotePrefix="0" xfId="2">
      <protection locked="0" hidden="0"/>
    </xf>
    <xf numFmtId="164" fontId="1" fillId="5" borderId="1" pivotButton="0" quotePrefix="0" xfId="2"/>
    <xf numFmtId="0" fontId="9" fillId="5" borderId="1" applyProtection="1" pivotButton="0" quotePrefix="0" xfId="2">
      <protection locked="0" hidden="0"/>
    </xf>
    <xf numFmtId="0" fontId="9" fillId="5" borderId="1" pivotButton="0" quotePrefix="0" xfId="2"/>
    <xf numFmtId="0" fontId="1" fillId="5" borderId="1" applyProtection="1" pivotButton="0" quotePrefix="0" xfId="2">
      <protection locked="0" hidden="0"/>
    </xf>
    <xf numFmtId="0" fontId="7" fillId="5" borderId="1" pivotButton="0" quotePrefix="0" xfId="2"/>
    <xf numFmtId="0" fontId="9" fillId="5" borderId="0" pivotButton="0" quotePrefix="0" xfId="2"/>
    <xf numFmtId="4" fontId="1" fillId="5" borderId="1" pivotButton="0" quotePrefix="0" xfId="2"/>
    <xf numFmtId="4" fontId="9" fillId="5" borderId="1" applyProtection="1" pivotButton="0" quotePrefix="0" xfId="2">
      <protection locked="0" hidden="0"/>
    </xf>
    <xf numFmtId="4" fontId="9" fillId="5" borderId="1" pivotButton="0" quotePrefix="0" xfId="2"/>
    <xf numFmtId="4" fontId="1" fillId="5" borderId="1" applyProtection="1" pivotButton="0" quotePrefix="0" xfId="2">
      <protection locked="0" hidden="0"/>
    </xf>
    <xf numFmtId="4" fontId="7" fillId="5" borderId="1" pivotButton="0" quotePrefix="0" xfId="2"/>
    <xf numFmtId="4" fontId="7" fillId="5" borderId="1" applyProtection="1" pivotButton="0" quotePrefix="0" xfId="2">
      <protection locked="0" hidden="0"/>
    </xf>
    <xf numFmtId="4" fontId="9" fillId="5" borderId="0" pivotButton="0" quotePrefix="0" xfId="2"/>
    <xf numFmtId="165" fontId="1" fillId="0" borderId="0" applyProtection="1" pivotButton="0" quotePrefix="0" xfId="1">
      <protection locked="0" hidden="0"/>
    </xf>
    <xf numFmtId="165" fontId="1" fillId="0" borderId="0" pivotButton="0" quotePrefix="0" xfId="1"/>
    <xf numFmtId="164" fontId="7" fillId="0" borderId="1" applyAlignment="1" applyProtection="1" pivotButton="0" quotePrefix="0" xfId="1">
      <alignment wrapText="1"/>
      <protection locked="0" hidden="0"/>
    </xf>
    <xf numFmtId="164" fontId="1" fillId="0" borderId="1" applyProtection="1" pivotButton="0" quotePrefix="0" xfId="1">
      <protection locked="0" hidden="0"/>
    </xf>
    <xf numFmtId="164" fontId="1" fillId="0" borderId="1" pivotButton="0" quotePrefix="0" xfId="1"/>
    <xf numFmtId="164" fontId="1" fillId="0" borderId="0" applyProtection="1" pivotButton="0" quotePrefix="0" xfId="1">
      <protection locked="0" hidden="0"/>
    </xf>
    <xf numFmtId="164" fontId="1" fillId="0" borderId="0" pivotButton="0" quotePrefix="0" xfId="1"/>
    <xf numFmtId="0" fontId="7" fillId="4" borderId="14" applyAlignment="1" pivotButton="0" quotePrefix="0" xfId="1">
      <alignment vertical="center" wrapText="1"/>
    </xf>
    <xf numFmtId="0" fontId="7" fillId="4" borderId="18" applyAlignment="1" pivotButton="0" quotePrefix="0" xfId="1">
      <alignment vertical="center" wrapText="1"/>
    </xf>
    <xf numFmtId="0" fontId="4" fillId="3" borderId="14" applyAlignment="1" applyProtection="1" pivotButton="0" quotePrefix="0" xfId="2">
      <alignment horizontal="left"/>
      <protection locked="0" hidden="0"/>
    </xf>
    <xf numFmtId="0" fontId="4" fillId="3" borderId="3" applyAlignment="1" applyProtection="1" pivotButton="0" quotePrefix="0" xfId="2">
      <alignment horizontal="left"/>
      <protection locked="0" hidden="0"/>
    </xf>
    <xf numFmtId="0" fontId="4" fillId="3" borderId="14" applyAlignment="1" pivotButton="0" quotePrefix="0" xfId="2">
      <alignment horizontal="left"/>
    </xf>
    <xf numFmtId="0" fontId="4" fillId="3" borderId="3" applyAlignment="1" pivotButton="0" quotePrefix="0" xfId="2">
      <alignment horizontal="left"/>
    </xf>
    <xf numFmtId="0" fontId="4" fillId="0" borderId="0" applyAlignment="1" pivotButton="0" quotePrefix="0" xfId="1">
      <alignment horizontal="left"/>
    </xf>
    <xf numFmtId="0" fontId="7" fillId="4" borderId="15" applyAlignment="1" pivotButton="0" quotePrefix="0" xfId="1">
      <alignment horizontal="left" vertical="center" wrapText="1"/>
    </xf>
    <xf numFmtId="0" fontId="4" fillId="2" borderId="16" applyAlignment="1" pivotButton="0" quotePrefix="0" xfId="1">
      <alignment horizontal="center"/>
    </xf>
    <xf numFmtId="0" fontId="4" fillId="2" borderId="17" applyAlignment="1" pivotButton="0" quotePrefix="0" xfId="1">
      <alignment horizontal="center"/>
    </xf>
    <xf numFmtId="0" fontId="4" fillId="3" borderId="14" applyAlignment="1" pivotButton="0" quotePrefix="0" xfId="2">
      <alignment horizontal="center" wrapText="1"/>
    </xf>
    <xf numFmtId="0" fontId="4" fillId="3" borderId="4" applyAlignment="1" pivotButton="0" quotePrefix="0" xfId="2">
      <alignment horizontal="center" wrapText="1"/>
    </xf>
    <xf numFmtId="0" fontId="4" fillId="3" borderId="3" applyAlignment="1" pivotButton="0" quotePrefix="0" xfId="2">
      <alignment horizontal="center" wrapText="1"/>
    </xf>
    <xf numFmtId="0" fontId="19" fillId="0" borderId="0" applyAlignment="1" applyProtection="1" pivotButton="0" quotePrefix="0" xfId="2">
      <alignment horizontal="left" wrapText="1"/>
      <protection locked="0" hidden="0"/>
    </xf>
    <xf numFmtId="0" fontId="12" fillId="0" borderId="0" applyAlignment="1" pivotButton="0" quotePrefix="0" xfId="2">
      <alignment horizontal="left" wrapText="1"/>
    </xf>
    <xf numFmtId="0" fontId="14" fillId="0" borderId="8" applyAlignment="1" pivotButton="0" quotePrefix="0" xfId="2">
      <alignment horizontal="left"/>
    </xf>
    <xf numFmtId="0" fontId="14" fillId="0" borderId="4" applyAlignment="1" pivotButton="0" quotePrefix="0" xfId="2">
      <alignment horizontal="left"/>
    </xf>
    <xf numFmtId="0" fontId="14" fillId="0" borderId="13" applyAlignment="1" pivotButton="0" quotePrefix="0" xfId="2">
      <alignment horizontal="left"/>
    </xf>
    <xf numFmtId="164" fontId="14" fillId="0" borderId="8" applyAlignment="1" pivotButton="0" quotePrefix="0" xfId="2">
      <alignment horizontal="left"/>
    </xf>
    <xf numFmtId="164" fontId="14" fillId="0" borderId="4" applyAlignment="1" pivotButton="0" quotePrefix="0" xfId="2">
      <alignment horizontal="left"/>
    </xf>
    <xf numFmtId="164" fontId="14" fillId="0" borderId="13" applyAlignment="1" pivotButton="0" quotePrefix="0" xfId="2">
      <alignment horizontal="left"/>
    </xf>
    <xf numFmtId="0" fontId="4" fillId="0" borderId="0" pivotButton="0" quotePrefix="0" xfId="2"/>
    <xf numFmtId="0" fontId="23" fillId="6" borderId="0" applyProtection="1" pivotButton="0" quotePrefix="0" xfId="2">
      <protection locked="0" hidden="0"/>
    </xf>
    <xf numFmtId="0" fontId="1" fillId="6" borderId="0" applyProtection="1" pivotButton="0" quotePrefix="0" xfId="2">
      <protection locked="0" hidden="0"/>
    </xf>
    <xf numFmtId="0" fontId="1" fillId="6" borderId="0" pivotButton="0" quotePrefix="0" xfId="2"/>
    <xf numFmtId="0" fontId="4" fillId="2" borderId="23" applyAlignment="1" pivotButton="0" quotePrefix="0" xfId="1">
      <alignment horizontal="center"/>
    </xf>
    <xf numFmtId="0" fontId="0" fillId="0" borderId="17" pivotButton="0" quotePrefix="0" xfId="0"/>
    <xf numFmtId="0" fontId="0" fillId="0" borderId="22" pivotButton="0" quotePrefix="0" xfId="0"/>
    <xf numFmtId="0" fontId="4" fillId="3" borderId="1" applyAlignment="1" pivotButton="0" quotePrefix="0" xfId="2">
      <alignment horizontal="left"/>
    </xf>
    <xf numFmtId="0" fontId="0" fillId="0" borderId="3" pivotButton="0" quotePrefix="0" xfId="0"/>
    <xf numFmtId="0" fontId="4" fillId="3" borderId="1" applyAlignment="1" applyProtection="1" pivotButton="0" quotePrefix="0" xfId="2">
      <alignment horizontal="left"/>
      <protection locked="0" hidden="0"/>
    </xf>
    <xf numFmtId="0" fontId="0" fillId="0" borderId="3" applyProtection="1" pivotButton="0" quotePrefix="0" xfId="0">
      <protection locked="0" hidden="0"/>
    </xf>
    <xf numFmtId="0" fontId="0" fillId="0" borderId="0" applyProtection="1" pivotButton="0" quotePrefix="0" xfId="0">
      <protection locked="0" hidden="0"/>
    </xf>
    <xf numFmtId="0" fontId="4" fillId="3" borderId="1" applyAlignment="1" pivotButton="0" quotePrefix="0" xfId="2">
      <alignment horizontal="center" wrapText="1"/>
    </xf>
    <xf numFmtId="0" fontId="0" fillId="0" borderId="4" pivotButton="0" quotePrefix="0" xfId="0"/>
    <xf numFmtId="0" fontId="14" fillId="0" borderId="24" applyAlignment="1" pivotButton="0" quotePrefix="0" xfId="2">
      <alignment horizontal="left"/>
    </xf>
    <xf numFmtId="0" fontId="0" fillId="0" borderId="13" pivotButton="0" quotePrefix="0" xfId="0"/>
    <xf numFmtId="164" fontId="14" fillId="0" borderId="24" applyAlignment="1" pivotButton="0" quotePrefix="0" xfId="2">
      <alignment horizontal="left"/>
    </xf>
  </cellXfs>
  <cellStyles count="5">
    <cellStyle name="Normal" xfId="0" builtinId="0"/>
    <cellStyle name="Normal 2" xfId="1"/>
    <cellStyle name="Normal 3" xfId="2"/>
    <cellStyle name="Hyperlink" xfId="3" builtinId="8" hidden="1"/>
    <cellStyle name="Followed Hyperlink" xfId="4" builtinId="9" hidden="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E1223"/>
  <sheetViews>
    <sheetView tabSelected="1" zoomScale="95" zoomScaleNormal="95" zoomScalePageLayoutView="95" workbookViewId="0">
      <selection activeCell="C11" sqref="C11"/>
    </sheetView>
  </sheetViews>
  <sheetFormatPr baseColWidth="8" defaultColWidth="8.875" defaultRowHeight="15.6"/>
  <cols>
    <col width="13.5" customWidth="1" style="1" min="1" max="1"/>
    <col width="81.125" customWidth="1" style="1" min="2" max="2"/>
    <col width="41.875" customWidth="1" style="1" min="3" max="3"/>
    <col width="41.5" customWidth="1" style="1" min="4" max="4"/>
    <col width="26.125" customWidth="1" style="1" min="5" max="5"/>
    <col width="8.875" customWidth="1" style="1" min="6" max="16384"/>
  </cols>
  <sheetData>
    <row r="1" ht="18" customFormat="1" customHeight="1" s="12">
      <c r="A1" s="116" t="inlineStr">
        <is>
          <t>TEMPLATE 7 Tab 1: PROJECT DESIGN BUDGET</t>
        </is>
      </c>
      <c r="D1" s="3" t="n"/>
    </row>
    <row r="2" ht="18" customFormat="1" customHeight="1" s="3">
      <c r="A2" s="76" t="inlineStr">
        <is>
          <t>Company Name:</t>
        </is>
      </c>
      <c r="B2" s="1" t="inlineStr">
        <is>
          <t>Cartagena On Chain</t>
        </is>
      </c>
      <c r="E2" s="1" t="n"/>
    </row>
    <row r="3" ht="28.35" customFormat="1" customHeight="1" s="2">
      <c r="A3" s="25" t="inlineStr">
        <is>
          <t>TIMELINE</t>
        </is>
      </c>
      <c r="B3" s="25" t="inlineStr">
        <is>
          <t>TASKS</t>
        </is>
      </c>
      <c r="C3" s="135" t="inlineStr">
        <is>
          <t>BUDGET</t>
        </is>
      </c>
      <c r="D3" s="136" t="n"/>
      <c r="E3" s="1" t="n"/>
    </row>
    <row r="4" ht="165.95" customFormat="1" customHeight="1" s="2">
      <c r="A4" s="16" t="n"/>
      <c r="B4" s="110" t="inlineStr">
        <is>
          <t>What are the major milestones you expect to achieve with the UNICEF Innovation Fund investment? What specific activities will you carry out to reach each milestone?
Please complete your budget using the same milestones and activities listed in Template 3 (Project Design Statement &amp; Data Plan). Budgets that do not align with the milestones and activities in Template 3 will not be considered.</t>
        </is>
      </c>
      <c r="C4" s="117" t="inlineStr">
        <is>
          <t>This budget should detail the costs to be covered by the UNICEF Venture Fund investment. Each budget line must be linked to the corresponding activity listed in Column B (TASKS). Formulas have been provided—if you add additional rows, please ensure the formulas remain accurate. Use the blue fields to calculate the total budget per quarter, and verify that the formula also reflects the total for the full 12-month period.
For each milestone, indicate the amount of funding requested in Column C (USD) or Column D (ETH)—choose only one currency per activity, not both.</t>
        </is>
      </c>
      <c r="D4" s="137" t="n"/>
      <c r="E4" s="1" t="n"/>
    </row>
    <row r="5" customFormat="1" s="2">
      <c r="A5" s="78" t="inlineStr">
        <is>
          <t>Currency</t>
        </is>
      </c>
      <c r="B5" s="77" t="n"/>
      <c r="C5" s="111" t="inlineStr">
        <is>
          <t>USD</t>
        </is>
      </c>
      <c r="D5" s="111" t="n"/>
    </row>
    <row r="6" ht="17.85" customFormat="1" customHeight="1" s="2">
      <c r="A6" s="138" t="inlineStr">
        <is>
          <t>Quarter 1 Total</t>
        </is>
      </c>
      <c r="B6" s="139" t="n"/>
      <c r="C6" s="51">
        <f>SUM(C7:C22)</f>
        <v/>
      </c>
      <c r="D6" s="51">
        <f>SUM(D7:D22)</f>
        <v/>
      </c>
    </row>
    <row r="7" ht="15.6" customHeight="1">
      <c r="A7" s="61" t="inlineStr">
        <is>
          <t>Milestone 1</t>
        </is>
      </c>
      <c r="B7" s="50" t="inlineStr">
        <is>
          <t>Engineering rigor &amp; ERC-20 pool deployment (current production chain)</t>
        </is>
      </c>
      <c r="C7" s="105" t="n"/>
      <c r="D7" s="105" t="n"/>
    </row>
    <row r="8" ht="15.6" customHeight="1">
      <c r="A8" s="49" t="inlineStr">
        <is>
          <t>Activity 1</t>
        </is>
      </c>
      <c r="B8" s="50" t="inlineStr">
        <is>
          <t>Activity 1 — Coverage tooling installed; baseline coverage report published</t>
        </is>
      </c>
      <c r="C8" s="105" t="n">
        <v>3000</v>
      </c>
      <c r="D8" s="105" t="n"/>
    </row>
    <row r="9" ht="15.6" customHeight="1">
      <c r="A9" s="49" t="inlineStr">
        <is>
          <t>Activity 2</t>
        </is>
      </c>
      <c r="B9" s="50" t="inlineStr">
        <is>
          <t>Activity 2 — Deploy ERC-20 stablecoin pool to current production chain; round-trip test</t>
        </is>
      </c>
      <c r="C9" s="105" t="n">
        <v>6000</v>
      </c>
      <c r="D9" s="105" t="n"/>
    </row>
    <row r="10" ht="15.6" customHeight="1">
      <c r="A10" s="49" t="n"/>
      <c r="B10" s="50" t="n"/>
      <c r="C10" s="105" t="n"/>
      <c r="D10" s="105" t="n"/>
    </row>
    <row r="11" ht="15.6" customHeight="1">
      <c r="A11" s="61" t="inlineStr">
        <is>
          <t>Milestone 2</t>
        </is>
      </c>
      <c r="B11" s="50" t="inlineStr">
        <is>
          <t>External security delta-audit kickoff (Galeon-specific contracts + stealth library)</t>
        </is>
      </c>
      <c r="C11" s="105" t="n"/>
      <c r="D11" s="105" t="n"/>
    </row>
    <row r="12" ht="15.6" customHeight="1">
      <c r="A12" s="49" t="inlineStr">
        <is>
          <t>Activity 1</t>
        </is>
      </c>
      <c r="B12" s="50" t="inlineStr">
        <is>
          <t>Activity 1 — Solicit proposals; select firm; sign engagement letter; initial retainer</t>
        </is>
      </c>
      <c r="C12" s="105" t="n">
        <v>4000</v>
      </c>
      <c r="D12" s="105" t="n"/>
    </row>
    <row r="13" ht="15.6" customHeight="1">
      <c r="A13" s="49" t="inlineStr">
        <is>
          <t>Activity 2</t>
        </is>
      </c>
      <c r="B13" s="50" t="inlineStr">
        <is>
          <t>Activity 2 — Freeze audit branch; produce threat model and modifications diff</t>
        </is>
      </c>
      <c r="C13" s="105" t="n">
        <v>1500</v>
      </c>
      <c r="D13" s="105" t="n"/>
    </row>
    <row r="14" ht="15.6" customHeight="1">
      <c r="A14" s="49" t="n"/>
      <c r="B14" s="50" t="n"/>
      <c r="C14" s="105" t="n"/>
      <c r="D14" s="105" t="n"/>
    </row>
    <row r="15" ht="15.6" customHeight="1">
      <c r="A15" s="61" t="inlineStr">
        <is>
          <t>Milestone 3</t>
        </is>
      </c>
      <c r="B15" s="50" t="inlineStr">
        <is>
          <t>Partner discovery, LOI, and operational model scoping</t>
        </is>
      </c>
      <c r="C15" s="105" t="n"/>
      <c r="D15" s="105" t="n"/>
    </row>
    <row r="16" ht="17.45" customHeight="1">
      <c r="A16" s="49" t="inlineStr">
        <is>
          <t>Activity 1</t>
        </is>
      </c>
      <c r="B16" s="50" t="inlineStr">
        <is>
          <t>Activity 1 — Discovery sessions with UNICEF country offices and NGO partners</t>
        </is>
      </c>
      <c r="C16" s="105" t="n">
        <v>2500</v>
      </c>
      <c r="D16" s="105" t="n"/>
    </row>
    <row r="17" ht="17.85" customFormat="1" customHeight="1" s="2">
      <c r="A17" s="49" t="inlineStr">
        <is>
          <t>Activity 2</t>
        </is>
      </c>
      <c r="B17" s="50" t="inlineStr">
        <is>
          <t>Activity 2 — Sign LOI; draft operational dependency model; legal review of LOI/partnership terms</t>
        </is>
      </c>
      <c r="C17" s="105" t="n">
        <v>3000</v>
      </c>
      <c r="D17" s="105" t="n"/>
    </row>
    <row r="18" ht="17.85" customFormat="1" customHeight="1" s="2">
      <c r="A18" s="49" t="n"/>
      <c r="B18" s="50" t="n"/>
      <c r="C18" s="105" t="n"/>
      <c r="D18" s="105" t="n"/>
    </row>
    <row r="19" ht="15.6" customHeight="1">
      <c r="A19" s="61" t="inlineStr">
        <is>
          <t>Milestone 4</t>
        </is>
      </c>
      <c r="B19" s="50" t="inlineStr">
        <is>
          <t>Beneficiary onboarding — embedded email-based wallet and gas-simplification options</t>
        </is>
      </c>
      <c r="C19" s="105" t="n"/>
      <c r="D19" s="105" t="n"/>
    </row>
    <row r="20" ht="15.6" customHeight="1">
      <c r="A20" s="49" t="inlineStr">
        <is>
          <t>Activity 1</t>
        </is>
      </c>
      <c r="B20" s="50" t="inlineStr">
        <is>
          <t>Activity 1 — Integrate Privy SDK (or equivalent) with email recovery; evaluate gas-simplification options</t>
        </is>
      </c>
      <c r="C20" s="105" t="n">
        <v>6500</v>
      </c>
      <c r="D20" s="105" t="n"/>
    </row>
    <row r="21" ht="15.6" customHeight="1">
      <c r="A21" s="64" t="inlineStr">
        <is>
          <t>Activity 2</t>
        </is>
      </c>
      <c r="B21" s="50" t="inlineStr">
        <is>
          <t>Activity 2 — Mobile-first redesign of Setup, Receive, Pay, Collect for non-technical first-time users</t>
        </is>
      </c>
      <c r="C21" s="105" t="n">
        <v>2750</v>
      </c>
      <c r="D21" s="105" t="n"/>
    </row>
    <row r="22" ht="15.6" customHeight="1">
      <c r="A22" s="64" t="n"/>
      <c r="B22" s="50" t="n"/>
      <c r="C22" s="105" t="n"/>
      <c r="D22" s="105" t="n"/>
    </row>
    <row r="23" ht="15.6" customHeight="1">
      <c r="A23" s="140" t="inlineStr">
        <is>
          <t>Quarter 2 total</t>
        </is>
      </c>
      <c r="B23" s="141" t="n"/>
      <c r="C23" s="51">
        <f>SUM(C24:C39)</f>
        <v/>
      </c>
      <c r="D23" s="51">
        <f>SUM(D24:D39)</f>
        <v/>
      </c>
    </row>
    <row r="24" ht="15.6" customHeight="1">
      <c r="A24" s="61" t="inlineStr">
        <is>
          <t>Milestone 1</t>
        </is>
      </c>
      <c r="B24" s="50" t="inlineStr">
        <is>
          <t>Real ASP filtering — sanctions screening + blocklist (replaces hackathon auto-approve)</t>
        </is>
      </c>
      <c r="C24" s="105" t="n"/>
      <c r="D24" s="105" t="n"/>
    </row>
    <row r="25" ht="15.6" customHeight="1">
      <c r="A25" s="49" t="inlineStr">
        <is>
          <t>Activity 1</t>
        </is>
      </c>
      <c r="B25" s="50" t="inlineStr">
        <is>
          <t>Activity 1 — Select &amp; integrate screening provider; rejection-handling protocol; ragequit test</t>
        </is>
      </c>
      <c r="C25" s="105" t="n">
        <v>5500</v>
      </c>
      <c r="D25" s="105" t="n"/>
    </row>
    <row r="26" ht="20.1" customHeight="1">
      <c r="A26" s="49" t="inlineStr">
        <is>
          <t>Activity 2</t>
        </is>
      </c>
      <c r="B26" s="50" t="inlineStr">
        <is>
          <t>Activity 2 — Publish ASP policy + appeals process; start IPFS attestation publication</t>
        </is>
      </c>
      <c r="C26" s="105" t="n">
        <v>3500</v>
      </c>
      <c r="D26" s="105" t="n"/>
    </row>
    <row r="27" ht="17.85" customHeight="1">
      <c r="A27" s="49" t="n"/>
      <c r="B27" s="50" t="n"/>
      <c r="C27" s="105" t="n"/>
      <c r="D27" s="105" t="n"/>
    </row>
    <row r="28" ht="17.85" customHeight="1">
      <c r="A28" s="61" t="inlineStr">
        <is>
          <t>Milestone 2</t>
        </is>
      </c>
      <c r="B28" s="50" t="inlineStr">
        <is>
          <t>Audit findings remediated; final audit report published</t>
        </is>
      </c>
      <c r="C28" s="105" t="n"/>
      <c r="D28" s="105" t="n"/>
    </row>
    <row r="29">
      <c r="A29" s="49" t="inlineStr">
        <is>
          <t>Activity 1</t>
        </is>
      </c>
      <c r="B29" s="50" t="inlineStr">
        <is>
          <t>Activity 1 — Triage findings; assign owners; plan remediation</t>
        </is>
      </c>
      <c r="C29" s="105" t="n">
        <v>8000</v>
      </c>
      <c r="D29" s="105" t="n"/>
    </row>
    <row r="30">
      <c r="A30" s="49" t="inlineStr">
        <is>
          <t>Activity 2</t>
        </is>
      </c>
      <c r="B30" s="50" t="inlineStr">
        <is>
          <t>Activity 2 — Implement fixes; auditor re-review; publish final report and letter of resolution</t>
        </is>
      </c>
      <c r="C30" s="105" t="n">
        <v>13000</v>
      </c>
      <c r="D30" s="105" t="n"/>
    </row>
    <row r="31">
      <c r="A31" s="49" t="n"/>
      <c r="B31" s="50" t="n"/>
      <c r="C31" s="105" t="n"/>
      <c r="D31" s="105" t="n"/>
    </row>
    <row r="32">
      <c r="A32" s="61" t="inlineStr">
        <is>
          <t>Milestone 3</t>
        </is>
      </c>
      <c r="B32" s="50" t="inlineStr">
        <is>
          <t>Children's data protection — DPIA review and in-product safeguards</t>
        </is>
      </c>
      <c r="C32" s="105" t="n"/>
      <c r="D32" s="105" t="n"/>
    </row>
    <row r="33">
      <c r="A33" s="49" t="inlineStr">
        <is>
          <t>Activity 1</t>
        </is>
      </c>
      <c r="B33" s="62" t="inlineStr">
        <is>
          <t>Activity 1 — Engage external privacy counsel; DPIA review aligned with UNICEF ethical standards</t>
        </is>
      </c>
      <c r="C33" s="105" t="n">
        <v>3000</v>
      </c>
      <c r="D33" s="105" t="n"/>
    </row>
    <row r="34">
      <c r="A34" s="49" t="inlineStr">
        <is>
          <t>Activity 2</t>
        </is>
      </c>
      <c r="B34" s="62" t="inlineStr">
        <is>
          <t>Activity 2 — Implement children_program_mode flag; audit-log surface; data-minimisation contract</t>
        </is>
      </c>
      <c r="C34" s="105" t="n">
        <v>3500</v>
      </c>
      <c r="D34" s="105" t="n"/>
    </row>
    <row r="35">
      <c r="A35" s="49" t="n"/>
      <c r="B35" s="62" t="n"/>
      <c r="C35" s="105" t="n"/>
      <c r="D35" s="105" t="n"/>
    </row>
    <row r="36">
      <c r="A36" s="61" t="inlineStr">
        <is>
          <t>Milestone 4</t>
        </is>
      </c>
      <c r="B36" s="62" t="inlineStr">
        <is>
          <t>Open-source community readiness + sandbox with partner staff</t>
        </is>
      </c>
      <c r="C36" s="105" t="n"/>
      <c r="D36" s="105" t="n"/>
    </row>
    <row r="37">
      <c r="A37" s="49" t="inlineStr">
        <is>
          <t>Activity 1</t>
        </is>
      </c>
      <c r="B37" s="62" t="inlineStr">
        <is>
          <t>Activity 1 — Security review of public repo; secrets audit; UNICEF attribution; community guides</t>
        </is>
      </c>
      <c r="C37" s="105" t="n">
        <v>2750</v>
      </c>
      <c r="D37" s="105" t="n"/>
    </row>
    <row r="38">
      <c r="A38" s="64" t="inlineStr">
        <is>
          <t>Activity 2</t>
        </is>
      </c>
      <c r="B38" s="62" t="inlineStr">
        <is>
          <t>Activity 2 — Sandbox testing with partner staff: staging env, test-token faucet, training, runbook</t>
        </is>
      </c>
      <c r="C38" s="105" t="n">
        <v>5000</v>
      </c>
      <c r="D38" s="105" t="n"/>
    </row>
    <row r="39">
      <c r="A39" s="64" t="n"/>
      <c r="B39" s="62" t="n"/>
      <c r="C39" s="105" t="n"/>
      <c r="D39" s="105" t="n"/>
    </row>
    <row r="40">
      <c r="A40" s="140" t="inlineStr">
        <is>
          <t>Quarter 3 total</t>
        </is>
      </c>
      <c r="B40" s="141" t="n"/>
      <c r="C40" s="51">
        <f>SUM(C41:C56)</f>
        <v/>
      </c>
      <c r="D40" s="51">
        <f>SUM(D41:D56)</f>
        <v/>
      </c>
    </row>
    <row r="41" ht="17.85" customHeight="1">
      <c r="A41" s="61" t="inlineStr">
        <is>
          <t>Milestone 1</t>
        </is>
      </c>
      <c r="B41" s="50" t="inlineStr">
        <is>
          <t>Controlled pilot launch with LOI partner (≤50 beneficiaries)</t>
        </is>
      </c>
      <c r="C41" s="105" t="n"/>
      <c r="D41" s="105" t="n"/>
    </row>
    <row r="42" ht="17.85" customHeight="1">
      <c r="A42" s="49" t="inlineStr">
        <is>
          <t>Activity 1</t>
        </is>
      </c>
      <c r="B42" s="50" t="inlineStr">
        <is>
          <t>Activity 1 — Production pilot deployment; monitoring; runbook for partner staff</t>
        </is>
      </c>
      <c r="C42" s="105" t="n">
        <v>4150</v>
      </c>
      <c r="D42" s="105" t="n"/>
    </row>
    <row r="43">
      <c r="A43" s="49" t="inlineStr">
        <is>
          <t>Activity 2</t>
        </is>
      </c>
      <c r="B43" s="50" t="inlineStr">
        <is>
          <t>Activity 2 — Onboard first cohort; monitor; collect feedback after 2 weeks</t>
        </is>
      </c>
      <c r="C43" s="105" t="n">
        <v>3000</v>
      </c>
      <c r="D43" s="105" t="n"/>
    </row>
    <row r="44">
      <c r="A44" s="49" t="n"/>
      <c r="B44" s="50" t="n"/>
      <c r="C44" s="105" t="n"/>
      <c r="D44" s="105" t="n"/>
    </row>
    <row r="45">
      <c r="A45" s="61" t="inlineStr">
        <is>
          <t>Milestone 2</t>
        </is>
      </c>
      <c r="B45" s="50" t="inlineStr">
        <is>
          <t>Shipwreck jurisdiction expansion and multi-language UI (English + one pilot language)</t>
        </is>
      </c>
      <c r="C45" s="105" t="n"/>
      <c r="D45" s="105" t="n"/>
    </row>
    <row r="46">
      <c r="A46" s="49" t="inlineStr">
        <is>
          <t>Activity 1</t>
        </is>
      </c>
      <c r="B46" s="50" t="inlineStr">
        <is>
          <t>Activity 1 — Extract user-facing strings; pilot-language support (partner / in-house)</t>
        </is>
      </c>
      <c r="C46" s="105" t="n">
        <v>1500</v>
      </c>
      <c r="D46" s="105" t="n"/>
    </row>
    <row r="47">
      <c r="A47" s="49" t="inlineStr">
        <is>
          <t>Activity 2</t>
        </is>
      </c>
      <c r="B47" s="50" t="inlineStr">
        <is>
          <t>Activity 2 — Add pilot-jurisdiction Shipwreck template; integrate documented exchange-rate source; jurisdiction memo</t>
        </is>
      </c>
      <c r="C47" s="105" t="n">
        <v>3500</v>
      </c>
      <c r="D47" s="105" t="n"/>
    </row>
    <row r="48">
      <c r="A48" s="49" t="n"/>
      <c r="B48" s="50" t="n"/>
      <c r="C48" s="105" t="n"/>
      <c r="D48" s="105" t="n"/>
    </row>
    <row r="49">
      <c r="A49" s="61" t="inlineStr">
        <is>
          <t>Milestone 3</t>
        </is>
      </c>
      <c r="B49" s="50" t="inlineStr">
        <is>
          <t>Pilot validation and feedback</t>
        </is>
      </c>
      <c r="C49" s="105" t="n"/>
      <c r="D49" s="105" t="n"/>
    </row>
    <row r="50">
      <c r="A50" s="49" t="inlineStr">
        <is>
          <t>Activity 1</t>
        </is>
      </c>
      <c r="B50" s="50" t="inlineStr">
        <is>
          <t>Activity 1 — Ethics-cleared interviews with beneficiaries and partner staff</t>
        </is>
      </c>
      <c r="C50" s="105" t="n">
        <v>1500</v>
      </c>
      <c r="D50" s="105" t="n"/>
    </row>
    <row r="51">
      <c r="A51" s="49" t="inlineStr">
        <is>
          <t>Activity 2</t>
        </is>
      </c>
      <c r="B51" s="50" t="inlineStr">
        <is>
          <t>Activity 2 — Usability tests on Pay and Collect flows</t>
        </is>
      </c>
      <c r="C51" s="105" t="n">
        <v>1000</v>
      </c>
      <c r="D51" s="105" t="n"/>
    </row>
    <row r="52">
      <c r="A52" s="49" t="n"/>
      <c r="B52" s="50" t="n"/>
      <c r="C52" s="105" t="n"/>
      <c r="D52" s="105" t="n"/>
    </row>
    <row r="53">
      <c r="A53" s="61" t="inlineStr">
        <is>
          <t>Milestone 4</t>
        </is>
      </c>
      <c r="B53" s="50" t="inlineStr">
        <is>
          <t>N/A</t>
        </is>
      </c>
      <c r="C53" s="105" t="n"/>
      <c r="D53" s="105" t="n"/>
    </row>
    <row r="54">
      <c r="A54" s="49" t="inlineStr">
        <is>
          <t>Activity 1</t>
        </is>
      </c>
      <c r="B54" s="50" t="inlineStr">
        <is>
          <t>N/A</t>
        </is>
      </c>
      <c r="C54" s="105" t="n"/>
      <c r="D54" s="105" t="n"/>
    </row>
    <row r="55">
      <c r="A55" s="64" t="inlineStr">
        <is>
          <t>Activity 2</t>
        </is>
      </c>
      <c r="B55" s="50" t="inlineStr">
        <is>
          <t>N/A</t>
        </is>
      </c>
      <c r="C55" s="105" t="n"/>
      <c r="D55" s="105" t="n"/>
    </row>
    <row r="56" ht="20.1" customFormat="1" customHeight="1" s="4">
      <c r="A56" s="65" t="n"/>
      <c r="B56" s="50" t="n"/>
      <c r="C56" s="105" t="n"/>
      <c r="D56" s="105" t="n"/>
    </row>
    <row r="57">
      <c r="A57" s="140" t="inlineStr">
        <is>
          <t>Quarter 4 total</t>
        </is>
      </c>
      <c r="B57" s="141" t="n"/>
      <c r="C57" s="51">
        <f>SUM(C58:C72)</f>
        <v/>
      </c>
      <c r="D57" s="51">
        <f>SUM(D58:D72)</f>
        <v/>
      </c>
    </row>
    <row r="58">
      <c r="A58" s="61" t="inlineStr">
        <is>
          <t>Milestone 1</t>
        </is>
      </c>
      <c r="B58" s="50" t="inlineStr">
        <is>
          <t>Pilot expansion to ≤100 beneficiaries</t>
        </is>
      </c>
      <c r="C58" s="105" t="n"/>
      <c r="D58" s="105" t="n"/>
    </row>
    <row r="59">
      <c r="A59" s="49" t="inlineStr">
        <is>
          <t>Activity 1</t>
        </is>
      </c>
      <c r="B59" s="50" t="inlineStr">
        <is>
          <t>Activity 1 — Implement top fixes from Q3 feedback; expand partner staff training</t>
        </is>
      </c>
      <c r="C59" s="105" t="n">
        <v>2500</v>
      </c>
      <c r="D59" s="105" t="n"/>
    </row>
    <row r="60">
      <c r="A60" s="49" t="inlineStr">
        <is>
          <t>Activity 2</t>
        </is>
      </c>
      <c r="B60" s="50" t="inlineStr">
        <is>
          <t>Activity 2 — Onboard second cohort; monitor for 30 days</t>
        </is>
      </c>
      <c r="C60" s="105" t="n">
        <v>2600</v>
      </c>
      <c r="D60" s="105" t="n"/>
    </row>
    <row r="61">
      <c r="A61" s="49" t="n"/>
      <c r="B61" s="50" t="n"/>
      <c r="C61" s="105" t="n"/>
      <c r="D61" s="105" t="n"/>
    </row>
    <row r="62">
      <c r="A62" s="61" t="inlineStr">
        <is>
          <t>Milestone 2</t>
        </is>
      </c>
      <c r="B62" s="50" t="inlineStr">
        <is>
          <t>Implementation and usability evaluation co-conducted with partner M&amp;E lead</t>
        </is>
      </c>
      <c r="C62" s="105" t="n"/>
      <c r="D62" s="105" t="n"/>
    </row>
    <row r="63">
      <c r="A63" s="49" t="inlineStr">
        <is>
          <t>Activity 1</t>
        </is>
      </c>
      <c r="B63" s="50" t="inlineStr">
        <is>
          <t>Activity 1 — Co-conduct evaluation with partner M&amp;E lead following partner methodology</t>
        </is>
      </c>
      <c r="C63" s="105" t="n">
        <v>750</v>
      </c>
      <c r="D63" s="105" t="n"/>
    </row>
    <row r="64">
      <c r="A64" s="49" t="inlineStr">
        <is>
          <t>Activity 2</t>
        </is>
      </c>
      <c r="B64" s="50" t="inlineStr">
        <is>
          <t>Activity 2 — Publish implementation-evaluation.pdf jointly with partner</t>
        </is>
      </c>
      <c r="C64" s="105" t="n">
        <v>750</v>
      </c>
      <c r="D64" s="105" t="n"/>
    </row>
    <row r="65">
      <c r="A65" s="49" t="n"/>
      <c r="B65" s="50" t="n"/>
      <c r="C65" s="105" t="n"/>
      <c r="D65" s="105" t="n"/>
    </row>
    <row r="66">
      <c r="A66" s="61" t="inlineStr">
        <is>
          <t>Milestone 3</t>
        </is>
      </c>
      <c r="B66" s="52" t="inlineStr">
        <is>
          <t>Developer documentation and integration guides</t>
        </is>
      </c>
      <c r="C66" s="105" t="n"/>
      <c r="D66" s="105" t="n"/>
    </row>
    <row r="67">
      <c r="A67" s="49" t="inlineStr">
        <is>
          <t>Activity 1</t>
        </is>
      </c>
      <c r="B67" s="63" t="inlineStr">
        <is>
          <t>Activity 1 — Write protocol overview, API reference, security model, FAQ</t>
        </is>
      </c>
      <c r="C67" s="106" t="n">
        <v>1500</v>
      </c>
      <c r="D67" s="106" t="n"/>
    </row>
    <row r="68">
      <c r="A68" s="49" t="inlineStr">
        <is>
          <t>Activity 2</t>
        </is>
      </c>
      <c r="B68" s="63" t="inlineStr">
        <is>
          <t>Activity 2 — Two end-to-end integration tutorials</t>
        </is>
      </c>
      <c r="C68" s="106" t="n">
        <v>1500</v>
      </c>
      <c r="D68" s="106" t="n"/>
    </row>
    <row r="69">
      <c r="A69" s="49" t="n"/>
      <c r="B69" s="63" t="n"/>
      <c r="C69" s="107" t="n"/>
      <c r="D69" s="107" t="n"/>
    </row>
    <row r="70">
      <c r="A70" s="61" t="inlineStr">
        <is>
          <t>Milestone 4</t>
        </is>
      </c>
      <c r="B70" s="63" t="inlineStr">
        <is>
          <t>Sustainability roadmap, partner engagement, and final validation + accessibility conformance review</t>
        </is>
      </c>
      <c r="C70" s="106" t="n"/>
      <c r="D70" s="106" t="n"/>
    </row>
    <row r="71">
      <c r="A71" s="49" t="inlineStr">
        <is>
          <t>Activity 1</t>
        </is>
      </c>
      <c r="B71" s="63" t="inlineStr">
        <is>
          <t>Activity 1 — Document sustainability plan; open conversations with prospective post-funding partners</t>
        </is>
      </c>
      <c r="C71" s="106" t="n">
        <v>1500</v>
      </c>
      <c r="D71" s="106" t="n"/>
    </row>
    <row r="72">
      <c r="A72" s="64" t="inlineStr">
        <is>
          <t>Activity 2</t>
        </is>
      </c>
      <c r="B72" s="63" t="inlineStr">
        <is>
          <t>Activity 2 — Final validation sessions + WCAG 2.1 AA conformance review (in-house using standard tooling)</t>
        </is>
      </c>
      <c r="C72" s="106" t="n">
        <v>750</v>
      </c>
      <c r="D72" s="106" t="n"/>
    </row>
    <row r="73" ht="18" customHeight="1">
      <c r="A73" s="4" t="n"/>
      <c r="B73" s="53" t="n"/>
      <c r="C73" s="54">
        <f>SUM(C6,C23,C40,C57)</f>
        <v/>
      </c>
      <c r="D73" s="54">
        <f>SUM(D6,D23,D40,D57)</f>
        <v/>
      </c>
    </row>
    <row r="74">
      <c r="A74" s="53" t="n"/>
      <c r="B74" s="53" t="n"/>
      <c r="C74" s="108" t="n"/>
      <c r="D74" s="109" t="n"/>
    </row>
    <row r="75">
      <c r="A75" s="53" t="n"/>
      <c r="B75" s="53" t="n"/>
      <c r="C75" s="108" t="n"/>
      <c r="D75" s="109" t="n"/>
    </row>
    <row r="76">
      <c r="A76" s="53" t="n"/>
      <c r="B76" s="53" t="n"/>
      <c r="C76" s="108" t="n"/>
      <c r="D76" s="109" t="n"/>
    </row>
    <row r="77">
      <c r="A77" s="53" t="n"/>
      <c r="B77" s="53" t="n"/>
      <c r="C77" s="108" t="n"/>
      <c r="D77" s="109" t="n"/>
    </row>
    <row r="78">
      <c r="A78" s="53" t="n"/>
      <c r="B78" s="53" t="n"/>
      <c r="C78" s="108" t="n"/>
      <c r="D78" s="109" t="n"/>
    </row>
    <row r="79">
      <c r="A79" s="53" t="n"/>
      <c r="B79" s="53" t="n"/>
      <c r="C79" s="103" t="n"/>
      <c r="D79" s="104" t="n"/>
    </row>
    <row r="80">
      <c r="A80" s="53" t="n"/>
      <c r="B80" s="53" t="n"/>
      <c r="C80" s="103" t="n"/>
      <c r="D80" s="104" t="n"/>
    </row>
    <row r="81">
      <c r="A81" s="53" t="n"/>
      <c r="B81" s="53" t="n"/>
      <c r="C81" s="103" t="n"/>
      <c r="D81" s="104" t="n"/>
    </row>
    <row r="82">
      <c r="A82" s="53" t="n"/>
      <c r="B82" s="53" t="n"/>
      <c r="C82" s="53" t="n"/>
    </row>
    <row r="83">
      <c r="A83" s="53" t="n"/>
      <c r="B83" s="53" t="n"/>
      <c r="C83" s="53" t="n"/>
    </row>
    <row r="84">
      <c r="A84" s="53" t="n"/>
      <c r="B84" s="53" t="n"/>
      <c r="C84" s="53" t="n"/>
    </row>
    <row r="85">
      <c r="A85" s="53" t="n"/>
      <c r="B85" s="53" t="n"/>
      <c r="C85" s="53" t="n"/>
    </row>
    <row r="86">
      <c r="A86" s="53" t="n"/>
      <c r="B86" s="53" t="n"/>
      <c r="C86" s="53" t="n"/>
    </row>
    <row r="87">
      <c r="A87" s="53" t="n"/>
      <c r="B87" s="53" t="n"/>
      <c r="C87" s="53" t="n"/>
    </row>
    <row r="88">
      <c r="A88" s="53" t="n"/>
      <c r="B88" s="53" t="n"/>
      <c r="C88" s="53" t="n"/>
    </row>
    <row r="89">
      <c r="A89" s="53" t="n"/>
      <c r="B89" s="53" t="n"/>
      <c r="C89" s="53" t="n"/>
    </row>
    <row r="90">
      <c r="A90" s="53" t="n"/>
      <c r="B90" s="53" t="n"/>
      <c r="C90" s="53" t="n"/>
    </row>
    <row r="91">
      <c r="A91" s="53" t="n"/>
      <c r="B91" s="53" t="n"/>
      <c r="C91" s="53" t="n"/>
    </row>
    <row r="92">
      <c r="A92" s="53" t="n"/>
      <c r="B92" s="53" t="n"/>
      <c r="C92" s="53" t="n"/>
    </row>
    <row r="93">
      <c r="A93" s="53" t="n"/>
      <c r="B93" s="53" t="n"/>
      <c r="C93" s="53" t="n"/>
    </row>
    <row r="94">
      <c r="A94" s="53" t="n"/>
      <c r="B94" s="53" t="n"/>
      <c r="C94" s="53" t="n"/>
    </row>
    <row r="95">
      <c r="A95" s="53" t="n"/>
      <c r="B95" s="53" t="n"/>
      <c r="C95" s="53" t="n"/>
    </row>
    <row r="96">
      <c r="A96" s="53" t="n"/>
      <c r="B96" s="53" t="n"/>
      <c r="C96" s="53" t="n"/>
    </row>
    <row r="97">
      <c r="A97" s="53" t="n"/>
      <c r="B97" s="53" t="n"/>
      <c r="C97" s="53" t="n"/>
    </row>
    <row r="98">
      <c r="A98" s="53" t="n"/>
      <c r="B98" s="53" t="n"/>
      <c r="C98" s="53" t="n"/>
    </row>
    <row r="99">
      <c r="A99" s="53" t="n"/>
      <c r="B99" s="53" t="n"/>
      <c r="C99" s="53" t="n"/>
    </row>
    <row r="100">
      <c r="A100" s="53" t="n"/>
      <c r="B100" s="53" t="n"/>
      <c r="C100" s="53" t="n"/>
    </row>
    <row r="101">
      <c r="A101" s="53" t="n"/>
      <c r="B101" s="53" t="n"/>
      <c r="C101" s="53" t="n"/>
    </row>
    <row r="102">
      <c r="A102" s="53" t="n"/>
      <c r="B102" s="53" t="n"/>
      <c r="C102" s="53" t="n"/>
    </row>
    <row r="103">
      <c r="A103" s="53" t="n"/>
      <c r="B103" s="53" t="n"/>
      <c r="C103" s="53" t="n"/>
    </row>
    <row r="104">
      <c r="A104" s="53" t="n"/>
      <c r="B104" s="53" t="n"/>
      <c r="C104" s="53" t="n"/>
    </row>
    <row r="105">
      <c r="A105" s="53" t="n"/>
      <c r="B105" s="53" t="n"/>
      <c r="C105" s="53" t="n"/>
    </row>
    <row r="106">
      <c r="A106" s="53" t="n"/>
      <c r="B106" s="53" t="n"/>
      <c r="C106" s="53" t="n"/>
    </row>
    <row r="107">
      <c r="A107" s="53" t="n"/>
      <c r="B107" s="53" t="n"/>
      <c r="C107" s="53" t="n"/>
    </row>
    <row r="108">
      <c r="A108" s="53" t="n"/>
      <c r="B108" s="53" t="n"/>
      <c r="C108" s="53" t="n"/>
    </row>
    <row r="109">
      <c r="A109" s="53" t="n"/>
      <c r="B109" s="53" t="n"/>
      <c r="C109" s="53" t="n"/>
    </row>
    <row r="110">
      <c r="A110" s="53" t="n"/>
      <c r="B110" s="53" t="n"/>
      <c r="C110" s="53" t="n"/>
    </row>
    <row r="111">
      <c r="A111" s="53" t="n"/>
      <c r="B111" s="53" t="n"/>
      <c r="C111" s="53" t="n"/>
    </row>
    <row r="112">
      <c r="A112" s="53" t="n"/>
      <c r="B112" s="53" t="n"/>
      <c r="C112" s="53" t="n"/>
    </row>
    <row r="113">
      <c r="A113" s="53" t="n"/>
      <c r="B113" s="53" t="n"/>
      <c r="C113" s="53" t="n"/>
    </row>
    <row r="114">
      <c r="A114" s="53" t="n"/>
      <c r="B114" s="53" t="n"/>
      <c r="C114" s="53" t="n"/>
    </row>
    <row r="115">
      <c r="A115" s="53" t="n"/>
      <c r="B115" s="53" t="n"/>
      <c r="C115" s="53" t="n"/>
    </row>
    <row r="116">
      <c r="A116" s="53" t="n"/>
      <c r="B116" s="53" t="n"/>
      <c r="C116" s="53" t="n"/>
    </row>
    <row r="117">
      <c r="A117" s="53" t="n"/>
      <c r="B117" s="53" t="n"/>
      <c r="C117" s="53" t="n"/>
    </row>
    <row r="118">
      <c r="A118" s="53" t="n"/>
      <c r="B118" s="53" t="n"/>
      <c r="C118" s="53" t="n"/>
    </row>
    <row r="119">
      <c r="A119" s="53" t="n"/>
      <c r="B119" s="53" t="n"/>
      <c r="C119" s="53" t="n"/>
    </row>
    <row r="120">
      <c r="A120" s="53" t="n"/>
      <c r="B120" s="53" t="n"/>
      <c r="C120" s="53" t="n"/>
    </row>
    <row r="121">
      <c r="A121" s="53" t="n"/>
      <c r="B121" s="53" t="n"/>
      <c r="C121" s="53" t="n"/>
    </row>
    <row r="122">
      <c r="A122" s="53" t="n"/>
      <c r="B122" s="53" t="n"/>
      <c r="C122" s="53" t="n"/>
    </row>
    <row r="123">
      <c r="A123" s="53" t="n"/>
      <c r="B123" s="53" t="n"/>
      <c r="C123" s="53" t="n"/>
    </row>
    <row r="124">
      <c r="A124" s="53" t="n"/>
      <c r="B124" s="53" t="n"/>
      <c r="C124" s="53" t="n"/>
    </row>
    <row r="125">
      <c r="A125" s="53" t="n"/>
      <c r="B125" s="53" t="n"/>
      <c r="C125" s="53" t="n"/>
    </row>
    <row r="126">
      <c r="A126" s="53" t="n"/>
      <c r="B126" s="53" t="n"/>
      <c r="C126" s="53" t="n"/>
    </row>
    <row r="127">
      <c r="A127" s="53" t="n"/>
      <c r="B127" s="53" t="n"/>
      <c r="C127" s="53" t="n"/>
    </row>
    <row r="128">
      <c r="A128" s="53" t="n"/>
      <c r="B128" s="53" t="n"/>
      <c r="C128" s="53" t="n"/>
    </row>
    <row r="129">
      <c r="A129" s="53" t="n"/>
      <c r="B129" s="53" t="n"/>
      <c r="C129" s="53" t="n"/>
    </row>
    <row r="130">
      <c r="A130" s="53" t="n"/>
      <c r="B130" s="53" t="n"/>
      <c r="C130" s="53" t="n"/>
    </row>
    <row r="131">
      <c r="A131" s="53" t="n"/>
      <c r="B131" s="53" t="n"/>
      <c r="C131" s="53" t="n"/>
    </row>
    <row r="132">
      <c r="A132" s="53" t="n"/>
      <c r="B132" s="53" t="n"/>
      <c r="C132" s="53" t="n"/>
    </row>
    <row r="133">
      <c r="A133" s="53" t="n"/>
      <c r="B133" s="53" t="n"/>
      <c r="C133" s="53" t="n"/>
    </row>
    <row r="134">
      <c r="A134" s="53" t="n"/>
      <c r="B134" s="53" t="n"/>
      <c r="C134" s="53" t="n"/>
    </row>
    <row r="135">
      <c r="A135" s="53" t="n"/>
      <c r="B135" s="53" t="n"/>
      <c r="C135" s="53" t="n"/>
    </row>
    <row r="136">
      <c r="A136" s="53" t="n"/>
      <c r="B136" s="53" t="n"/>
      <c r="C136" s="53" t="n"/>
    </row>
    <row r="137">
      <c r="A137" s="53" t="n"/>
      <c r="B137" s="53" t="n"/>
      <c r="C137" s="53" t="n"/>
    </row>
    <row r="138">
      <c r="A138" s="53" t="n"/>
      <c r="B138" s="53" t="n"/>
      <c r="C138" s="53" t="n"/>
    </row>
    <row r="139">
      <c r="A139" s="53" t="n"/>
      <c r="B139" s="53" t="n"/>
      <c r="C139" s="53" t="n"/>
    </row>
    <row r="140">
      <c r="A140" s="53" t="n"/>
      <c r="B140" s="53" t="n"/>
      <c r="C140" s="53" t="n"/>
    </row>
    <row r="141">
      <c r="A141" s="53" t="n"/>
      <c r="B141" s="53" t="n"/>
      <c r="C141" s="53" t="n"/>
    </row>
    <row r="142">
      <c r="A142" s="53" t="n"/>
      <c r="B142" s="53" t="n"/>
      <c r="C142" s="53" t="n"/>
    </row>
    <row r="143">
      <c r="A143" s="53" t="n"/>
      <c r="B143" s="53" t="n"/>
      <c r="C143" s="53" t="n"/>
    </row>
    <row r="144">
      <c r="A144" s="53" t="n"/>
      <c r="B144" s="53" t="n"/>
      <c r="C144" s="53" t="n"/>
    </row>
    <row r="145">
      <c r="A145" s="53" t="n"/>
      <c r="B145" s="53" t="n"/>
      <c r="C145" s="53" t="n"/>
    </row>
    <row r="146">
      <c r="A146" s="53" t="n"/>
      <c r="B146" s="53" t="n"/>
      <c r="C146" s="53" t="n"/>
    </row>
    <row r="147">
      <c r="A147" s="53" t="n"/>
      <c r="B147" s="53" t="n"/>
      <c r="C147" s="53" t="n"/>
    </row>
    <row r="148">
      <c r="A148" s="53" t="n"/>
      <c r="B148" s="53" t="n"/>
      <c r="C148" s="53" t="n"/>
    </row>
    <row r="149">
      <c r="A149" s="53" t="n"/>
      <c r="B149" s="53" t="n"/>
      <c r="C149" s="53" t="n"/>
    </row>
    <row r="150">
      <c r="A150" s="53" t="n"/>
      <c r="B150" s="53" t="n"/>
      <c r="C150" s="53" t="n"/>
    </row>
    <row r="151">
      <c r="A151" s="53" t="n"/>
      <c r="B151" s="53" t="n"/>
      <c r="C151" s="53" t="n"/>
    </row>
    <row r="152">
      <c r="A152" s="53" t="n"/>
      <c r="B152" s="53" t="n"/>
      <c r="C152" s="53" t="n"/>
    </row>
    <row r="153">
      <c r="A153" s="53" t="n"/>
      <c r="B153" s="53" t="n"/>
      <c r="C153" s="53" t="n"/>
    </row>
    <row r="154">
      <c r="A154" s="53" t="n"/>
      <c r="B154" s="53" t="n"/>
      <c r="C154" s="53" t="n"/>
    </row>
    <row r="155">
      <c r="A155" s="53" t="n"/>
      <c r="B155" s="53" t="n"/>
      <c r="C155" s="53" t="n"/>
    </row>
    <row r="156">
      <c r="A156" s="53" t="n"/>
      <c r="B156" s="53" t="n"/>
      <c r="C156" s="53" t="n"/>
    </row>
    <row r="157">
      <c r="A157" s="53" t="n"/>
      <c r="B157" s="53" t="n"/>
      <c r="C157" s="53" t="n"/>
    </row>
    <row r="158">
      <c r="A158" s="53" t="n"/>
      <c r="B158" s="53" t="n"/>
      <c r="C158" s="53" t="n"/>
    </row>
    <row r="159">
      <c r="A159" s="53" t="n"/>
      <c r="B159" s="53" t="n"/>
      <c r="C159" s="53" t="n"/>
    </row>
    <row r="160">
      <c r="A160" s="53" t="n"/>
      <c r="B160" s="53" t="n"/>
      <c r="C160" s="53" t="n"/>
    </row>
    <row r="161">
      <c r="A161" s="53" t="n"/>
      <c r="B161" s="53" t="n"/>
      <c r="C161" s="53" t="n"/>
    </row>
    <row r="162">
      <c r="A162" s="53" t="n"/>
      <c r="B162" s="53" t="n"/>
      <c r="C162" s="53" t="n"/>
    </row>
    <row r="163">
      <c r="A163" s="53" t="n"/>
      <c r="B163" s="53" t="n"/>
      <c r="C163" s="53" t="n"/>
    </row>
    <row r="164">
      <c r="A164" s="53" t="n"/>
      <c r="B164" s="53" t="n"/>
      <c r="C164" s="53" t="n"/>
    </row>
    <row r="165">
      <c r="A165" s="53" t="n"/>
      <c r="B165" s="53" t="n"/>
      <c r="C165" s="53" t="n"/>
    </row>
    <row r="166">
      <c r="A166" s="53" t="n"/>
      <c r="B166" s="53" t="n"/>
      <c r="C166" s="53" t="n"/>
    </row>
    <row r="167">
      <c r="A167" s="53" t="n"/>
      <c r="B167" s="53" t="n"/>
      <c r="C167" s="53" t="n"/>
    </row>
    <row r="168">
      <c r="A168" s="53" t="n"/>
      <c r="B168" s="53" t="n"/>
      <c r="C168" s="53" t="n"/>
    </row>
    <row r="169">
      <c r="A169" s="53" t="n"/>
      <c r="B169" s="53" t="n"/>
      <c r="C169" s="53" t="n"/>
    </row>
    <row r="170">
      <c r="A170" s="53" t="n"/>
      <c r="B170" s="53" t="n"/>
      <c r="C170" s="53" t="n"/>
    </row>
    <row r="171">
      <c r="A171" s="53" t="n"/>
      <c r="B171" s="53" t="n"/>
      <c r="C171" s="53" t="n"/>
    </row>
    <row r="172">
      <c r="A172" s="53" t="n"/>
      <c r="B172" s="53" t="n"/>
      <c r="C172" s="53" t="n"/>
    </row>
    <row r="173">
      <c r="A173" s="53" t="n"/>
      <c r="B173" s="53" t="n"/>
      <c r="C173" s="53" t="n"/>
    </row>
    <row r="174">
      <c r="A174" s="53" t="n"/>
      <c r="B174" s="53" t="n"/>
      <c r="C174" s="53" t="n"/>
    </row>
    <row r="175">
      <c r="A175" s="53" t="n"/>
      <c r="B175" s="53" t="n"/>
      <c r="C175" s="53" t="n"/>
    </row>
    <row r="176">
      <c r="A176" s="53" t="n"/>
      <c r="B176" s="53" t="n"/>
      <c r="C176" s="53" t="n"/>
    </row>
    <row r="177">
      <c r="A177" s="53" t="n"/>
      <c r="B177" s="53" t="n"/>
      <c r="C177" s="53" t="n"/>
    </row>
    <row r="178">
      <c r="A178" s="53" t="n"/>
      <c r="B178" s="53" t="n"/>
      <c r="C178" s="53" t="n"/>
    </row>
    <row r="179">
      <c r="A179" s="53" t="n"/>
      <c r="B179" s="53" t="n"/>
      <c r="C179" s="53" t="n"/>
    </row>
    <row r="180">
      <c r="A180" s="53" t="n"/>
      <c r="B180" s="53" t="n"/>
      <c r="C180" s="53" t="n"/>
    </row>
    <row r="181">
      <c r="A181" s="53" t="n"/>
      <c r="B181" s="53" t="n"/>
      <c r="C181" s="53" t="n"/>
    </row>
    <row r="182">
      <c r="A182" s="53" t="n"/>
      <c r="B182" s="53" t="n"/>
      <c r="C182" s="53" t="n"/>
    </row>
    <row r="183">
      <c r="A183" s="53" t="n"/>
      <c r="B183" s="53" t="n"/>
      <c r="C183" s="53" t="n"/>
    </row>
    <row r="184">
      <c r="A184" s="53" t="n"/>
      <c r="B184" s="53" t="n"/>
      <c r="C184" s="53" t="n"/>
    </row>
    <row r="185">
      <c r="A185" s="53" t="n"/>
      <c r="B185" s="53" t="n"/>
      <c r="C185" s="53" t="n"/>
    </row>
    <row r="186">
      <c r="A186" s="53" t="n"/>
      <c r="B186" s="53" t="n"/>
      <c r="C186" s="53" t="n"/>
    </row>
    <row r="187">
      <c r="A187" s="53" t="n"/>
      <c r="B187" s="53" t="n"/>
      <c r="C187" s="53" t="n"/>
    </row>
    <row r="188">
      <c r="A188" s="53" t="n"/>
      <c r="B188" s="53" t="n"/>
      <c r="C188" s="53" t="n"/>
    </row>
    <row r="189">
      <c r="A189" s="53" t="n"/>
      <c r="B189" s="53" t="n"/>
      <c r="C189" s="53" t="n"/>
    </row>
    <row r="190">
      <c r="A190" s="53" t="n"/>
      <c r="B190" s="53" t="n"/>
      <c r="C190" s="53" t="n"/>
    </row>
    <row r="191">
      <c r="A191" s="53" t="n"/>
      <c r="B191" s="53" t="n"/>
      <c r="C191" s="53" t="n"/>
    </row>
    <row r="192">
      <c r="A192" s="53" t="n"/>
      <c r="B192" s="53" t="n"/>
      <c r="C192" s="53" t="n"/>
    </row>
    <row r="193">
      <c r="A193" s="53" t="n"/>
      <c r="B193" s="53" t="n"/>
      <c r="C193" s="53" t="n"/>
    </row>
    <row r="194">
      <c r="A194" s="53" t="n"/>
      <c r="B194" s="53" t="n"/>
      <c r="C194" s="53" t="n"/>
    </row>
    <row r="195">
      <c r="A195" s="53" t="n"/>
      <c r="B195" s="53" t="n"/>
      <c r="C195" s="53" t="n"/>
    </row>
    <row r="196">
      <c r="A196" s="53" t="n"/>
      <c r="B196" s="53" t="n"/>
      <c r="C196" s="53" t="n"/>
    </row>
    <row r="197">
      <c r="A197" s="53" t="n"/>
      <c r="B197" s="53" t="n"/>
      <c r="C197" s="53" t="n"/>
    </row>
    <row r="198">
      <c r="A198" s="53" t="n"/>
      <c r="B198" s="53" t="n"/>
      <c r="C198" s="53" t="n"/>
    </row>
    <row r="199">
      <c r="A199" s="53" t="n"/>
      <c r="B199" s="53" t="n"/>
      <c r="C199" s="53" t="n"/>
    </row>
    <row r="200">
      <c r="A200" s="53" t="n"/>
      <c r="B200" s="53" t="n"/>
      <c r="C200" s="53" t="n"/>
    </row>
    <row r="201">
      <c r="A201" s="53" t="n"/>
      <c r="B201" s="53" t="n"/>
      <c r="C201" s="53" t="n"/>
    </row>
    <row r="202">
      <c r="A202" s="53" t="n"/>
      <c r="B202" s="53" t="n"/>
      <c r="C202" s="53" t="n"/>
    </row>
    <row r="203">
      <c r="A203" s="53" t="n"/>
      <c r="B203" s="53" t="n"/>
      <c r="C203" s="53" t="n"/>
    </row>
    <row r="204">
      <c r="A204" s="53" t="n"/>
      <c r="B204" s="53" t="n"/>
      <c r="C204" s="53" t="n"/>
    </row>
    <row r="205">
      <c r="A205" s="53" t="n"/>
      <c r="B205" s="53" t="n"/>
      <c r="C205" s="53" t="n"/>
    </row>
    <row r="206">
      <c r="A206" s="53" t="n"/>
      <c r="B206" s="53" t="n"/>
      <c r="C206" s="53" t="n"/>
    </row>
    <row r="207">
      <c r="A207" s="53" t="n"/>
      <c r="B207" s="53" t="n"/>
      <c r="C207" s="53" t="n"/>
    </row>
    <row r="208">
      <c r="A208" s="53" t="n"/>
      <c r="B208" s="53" t="n"/>
      <c r="C208" s="53" t="n"/>
    </row>
    <row r="209">
      <c r="A209" s="53" t="n"/>
      <c r="B209" s="53" t="n"/>
      <c r="C209" s="53" t="n"/>
    </row>
    <row r="210">
      <c r="A210" s="53" t="n"/>
      <c r="B210" s="53" t="n"/>
      <c r="C210" s="53" t="n"/>
    </row>
    <row r="211">
      <c r="A211" s="53" t="n"/>
      <c r="B211" s="53" t="n"/>
      <c r="C211" s="53" t="n"/>
    </row>
    <row r="212">
      <c r="A212" s="53" t="n"/>
      <c r="B212" s="53" t="n"/>
      <c r="C212" s="53" t="n"/>
    </row>
    <row r="213">
      <c r="A213" s="53" t="n"/>
      <c r="B213" s="53" t="n"/>
      <c r="C213" s="53" t="n"/>
    </row>
    <row r="214">
      <c r="A214" s="53" t="n"/>
      <c r="B214" s="53" t="n"/>
      <c r="C214" s="53" t="n"/>
    </row>
    <row r="215">
      <c r="A215" s="53" t="n"/>
      <c r="B215" s="53" t="n"/>
      <c r="C215" s="53" t="n"/>
    </row>
    <row r="216">
      <c r="A216" s="53" t="n"/>
      <c r="B216" s="53" t="n"/>
      <c r="C216" s="53" t="n"/>
    </row>
    <row r="217">
      <c r="A217" s="53" t="n"/>
      <c r="B217" s="53" t="n"/>
      <c r="C217" s="53" t="n"/>
    </row>
    <row r="218">
      <c r="A218" s="53" t="n"/>
      <c r="B218" s="53" t="n"/>
      <c r="C218" s="53" t="n"/>
    </row>
    <row r="219">
      <c r="A219" s="53" t="n"/>
      <c r="B219" s="53" t="n"/>
      <c r="C219" s="53" t="n"/>
    </row>
    <row r="220">
      <c r="A220" s="53" t="n"/>
      <c r="B220" s="53" t="n"/>
      <c r="C220" s="53" t="n"/>
    </row>
    <row r="221">
      <c r="A221" s="53" t="n"/>
      <c r="B221" s="53" t="n"/>
      <c r="C221" s="53" t="n"/>
    </row>
    <row r="222">
      <c r="A222" s="53" t="n"/>
      <c r="B222" s="53" t="n"/>
      <c r="C222" s="53" t="n"/>
    </row>
    <row r="223">
      <c r="A223" s="53" t="n"/>
      <c r="B223" s="53" t="n"/>
      <c r="C223" s="53" t="n"/>
    </row>
    <row r="224">
      <c r="A224" s="53" t="n"/>
      <c r="B224" s="53" t="n"/>
      <c r="C224" s="53" t="n"/>
    </row>
    <row r="225">
      <c r="A225" s="53" t="n"/>
      <c r="B225" s="53" t="n"/>
      <c r="C225" s="53" t="n"/>
    </row>
    <row r="226">
      <c r="A226" s="53" t="n"/>
      <c r="B226" s="53" t="n"/>
      <c r="C226" s="53" t="n"/>
    </row>
    <row r="227">
      <c r="A227" s="53" t="n"/>
      <c r="B227" s="53" t="n"/>
      <c r="C227" s="53" t="n"/>
    </row>
    <row r="228">
      <c r="A228" s="53" t="n"/>
      <c r="B228" s="53" t="n"/>
      <c r="C228" s="53" t="n"/>
    </row>
    <row r="229">
      <c r="A229" s="53" t="n"/>
      <c r="B229" s="53" t="n"/>
      <c r="C229" s="53" t="n"/>
    </row>
    <row r="230">
      <c r="A230" s="53" t="n"/>
      <c r="B230" s="53" t="n"/>
      <c r="C230" s="53" t="n"/>
    </row>
    <row r="231">
      <c r="A231" s="53" t="n"/>
      <c r="B231" s="53" t="n"/>
      <c r="C231" s="53" t="n"/>
    </row>
    <row r="232">
      <c r="A232" s="53" t="n"/>
      <c r="B232" s="53" t="n"/>
      <c r="C232" s="53" t="n"/>
    </row>
    <row r="233">
      <c r="A233" s="53" t="n"/>
      <c r="B233" s="53" t="n"/>
      <c r="C233" s="53" t="n"/>
    </row>
    <row r="234">
      <c r="A234" s="53" t="n"/>
      <c r="B234" s="53" t="n"/>
      <c r="C234" s="53" t="n"/>
    </row>
    <row r="235">
      <c r="A235" s="53" t="n"/>
      <c r="B235" s="53" t="n"/>
      <c r="C235" s="53" t="n"/>
    </row>
    <row r="236">
      <c r="A236" s="53" t="n"/>
      <c r="B236" s="53" t="n"/>
      <c r="C236" s="53" t="n"/>
    </row>
    <row r="237">
      <c r="A237" s="53" t="n"/>
      <c r="B237" s="53" t="n"/>
      <c r="C237" s="53" t="n"/>
    </row>
    <row r="238">
      <c r="A238" s="53" t="n"/>
      <c r="B238" s="53" t="n"/>
      <c r="C238" s="53" t="n"/>
    </row>
    <row r="239">
      <c r="A239" s="53" t="n"/>
      <c r="B239" s="53" t="n"/>
      <c r="C239" s="53" t="n"/>
    </row>
    <row r="240">
      <c r="A240" s="53" t="n"/>
      <c r="B240" s="53" t="n"/>
      <c r="C240" s="53" t="n"/>
    </row>
    <row r="241">
      <c r="A241" s="53" t="n"/>
      <c r="B241" s="53" t="n"/>
      <c r="C241" s="53" t="n"/>
    </row>
    <row r="242">
      <c r="A242" s="53" t="n"/>
      <c r="B242" s="53" t="n"/>
      <c r="C242" s="53" t="n"/>
    </row>
    <row r="243">
      <c r="A243" s="53" t="n"/>
      <c r="B243" s="53" t="n"/>
      <c r="C243" s="53" t="n"/>
    </row>
    <row r="244">
      <c r="A244" s="53" t="n"/>
      <c r="B244" s="53" t="n"/>
      <c r="C244" s="53" t="n"/>
    </row>
    <row r="245">
      <c r="A245" s="53" t="n"/>
      <c r="B245" s="53" t="n"/>
      <c r="C245" s="53" t="n"/>
    </row>
    <row r="246">
      <c r="A246" s="53" t="n"/>
      <c r="B246" s="53" t="n"/>
      <c r="C246" s="53" t="n"/>
    </row>
    <row r="247">
      <c r="A247" s="53" t="n"/>
      <c r="B247" s="53" t="n"/>
      <c r="C247" s="53" t="n"/>
    </row>
    <row r="248">
      <c r="A248" s="53" t="n"/>
      <c r="B248" s="53" t="n"/>
      <c r="C248" s="53" t="n"/>
    </row>
    <row r="249">
      <c r="A249" s="53" t="n"/>
      <c r="B249" s="53" t="n"/>
      <c r="C249" s="53" t="n"/>
    </row>
    <row r="250">
      <c r="A250" s="53" t="n"/>
      <c r="B250" s="53" t="n"/>
      <c r="C250" s="53" t="n"/>
    </row>
    <row r="251">
      <c r="A251" s="53" t="n"/>
      <c r="B251" s="53" t="n"/>
      <c r="C251" s="53" t="n"/>
    </row>
    <row r="252">
      <c r="A252" s="53" t="n"/>
      <c r="B252" s="53" t="n"/>
      <c r="C252" s="53" t="n"/>
    </row>
    <row r="253">
      <c r="A253" s="53" t="n"/>
      <c r="B253" s="53" t="n"/>
      <c r="C253" s="53" t="n"/>
    </row>
    <row r="254">
      <c r="A254" s="53" t="n"/>
      <c r="B254" s="53" t="n"/>
      <c r="C254" s="53" t="n"/>
    </row>
    <row r="255">
      <c r="A255" s="53" t="n"/>
      <c r="B255" s="53" t="n"/>
      <c r="C255" s="53" t="n"/>
    </row>
    <row r="256">
      <c r="A256" s="53" t="n"/>
      <c r="B256" s="53" t="n"/>
      <c r="C256" s="53" t="n"/>
    </row>
    <row r="257">
      <c r="A257" s="53" t="n"/>
      <c r="B257" s="53" t="n"/>
      <c r="C257" s="53" t="n"/>
    </row>
    <row r="258">
      <c r="A258" s="53" t="n"/>
      <c r="B258" s="53" t="n"/>
      <c r="C258" s="53" t="n"/>
    </row>
    <row r="259">
      <c r="A259" s="53" t="n"/>
      <c r="B259" s="53" t="n"/>
      <c r="C259" s="53" t="n"/>
    </row>
    <row r="260">
      <c r="A260" s="53" t="n"/>
      <c r="B260" s="53" t="n"/>
      <c r="C260" s="53" t="n"/>
    </row>
    <row r="261">
      <c r="A261" s="53" t="n"/>
      <c r="B261" s="53" t="n"/>
      <c r="C261" s="53" t="n"/>
    </row>
    <row r="262">
      <c r="A262" s="53" t="n"/>
      <c r="B262" s="53" t="n"/>
      <c r="C262" s="53" t="n"/>
    </row>
    <row r="263">
      <c r="A263" s="53" t="n"/>
      <c r="B263" s="53" t="n"/>
      <c r="C263" s="53" t="n"/>
    </row>
    <row r="264">
      <c r="A264" s="53" t="n"/>
      <c r="B264" s="53" t="n"/>
      <c r="C264" s="53" t="n"/>
    </row>
    <row r="265">
      <c r="A265" s="53" t="n"/>
      <c r="B265" s="53" t="n"/>
      <c r="C265" s="53" t="n"/>
    </row>
    <row r="266">
      <c r="A266" s="53" t="n"/>
      <c r="B266" s="53" t="n"/>
      <c r="C266" s="53" t="n"/>
    </row>
    <row r="267">
      <c r="A267" s="53" t="n"/>
      <c r="B267" s="53" t="n"/>
      <c r="C267" s="53" t="n"/>
    </row>
    <row r="268">
      <c r="A268" s="53" t="n"/>
      <c r="B268" s="53" t="n"/>
      <c r="C268" s="53" t="n"/>
    </row>
    <row r="269">
      <c r="A269" s="53" t="n"/>
      <c r="B269" s="53" t="n"/>
      <c r="C269" s="53" t="n"/>
    </row>
    <row r="270">
      <c r="A270" s="53" t="n"/>
      <c r="B270" s="53" t="n"/>
      <c r="C270" s="53" t="n"/>
    </row>
    <row r="271">
      <c r="A271" s="53" t="n"/>
      <c r="B271" s="53" t="n"/>
      <c r="C271" s="53" t="n"/>
    </row>
    <row r="272">
      <c r="A272" s="53" t="n"/>
      <c r="B272" s="53" t="n"/>
      <c r="C272" s="53" t="n"/>
    </row>
    <row r="273">
      <c r="A273" s="53" t="n"/>
      <c r="B273" s="53" t="n"/>
      <c r="C273" s="53" t="n"/>
    </row>
    <row r="274">
      <c r="A274" s="53" t="n"/>
      <c r="B274" s="53" t="n"/>
      <c r="C274" s="53" t="n"/>
    </row>
    <row r="275">
      <c r="A275" s="53" t="n"/>
      <c r="B275" s="53" t="n"/>
      <c r="C275" s="53" t="n"/>
    </row>
    <row r="276">
      <c r="A276" s="53" t="n"/>
      <c r="B276" s="53" t="n"/>
      <c r="C276" s="53" t="n"/>
    </row>
    <row r="277">
      <c r="A277" s="53" t="n"/>
      <c r="B277" s="53" t="n"/>
      <c r="C277" s="53" t="n"/>
    </row>
    <row r="278">
      <c r="A278" s="53" t="n"/>
      <c r="B278" s="53" t="n"/>
      <c r="C278" s="53" t="n"/>
    </row>
    <row r="279">
      <c r="A279" s="53" t="n"/>
      <c r="B279" s="53" t="n"/>
      <c r="C279" s="53" t="n"/>
    </row>
    <row r="280">
      <c r="A280" s="53" t="n"/>
      <c r="B280" s="53" t="n"/>
      <c r="C280" s="53" t="n"/>
    </row>
    <row r="281">
      <c r="A281" s="53" t="n"/>
      <c r="B281" s="53" t="n"/>
      <c r="C281" s="53" t="n"/>
    </row>
    <row r="282">
      <c r="A282" s="53" t="n"/>
      <c r="B282" s="53" t="n"/>
      <c r="C282" s="53" t="n"/>
    </row>
    <row r="283">
      <c r="A283" s="53" t="n"/>
      <c r="B283" s="53" t="n"/>
      <c r="C283" s="53" t="n"/>
    </row>
    <row r="284">
      <c r="A284" s="53" t="n"/>
      <c r="B284" s="53" t="n"/>
      <c r="C284" s="53" t="n"/>
    </row>
    <row r="285">
      <c r="A285" s="53" t="n"/>
      <c r="B285" s="53" t="n"/>
      <c r="C285" s="53" t="n"/>
    </row>
    <row r="286">
      <c r="A286" s="53" t="n"/>
      <c r="B286" s="53" t="n"/>
      <c r="C286" s="53" t="n"/>
    </row>
    <row r="287">
      <c r="A287" s="53" t="n"/>
      <c r="B287" s="53" t="n"/>
      <c r="C287" s="53" t="n"/>
    </row>
    <row r="288">
      <c r="A288" s="53" t="n"/>
      <c r="B288" s="53" t="n"/>
      <c r="C288" s="53" t="n"/>
    </row>
    <row r="289">
      <c r="A289" s="53" t="n"/>
      <c r="B289" s="53" t="n"/>
      <c r="C289" s="53" t="n"/>
    </row>
    <row r="290">
      <c r="A290" s="53" t="n"/>
      <c r="B290" s="53" t="n"/>
      <c r="C290" s="53" t="n"/>
    </row>
    <row r="291">
      <c r="A291" s="53" t="n"/>
      <c r="B291" s="53" t="n"/>
      <c r="C291" s="53" t="n"/>
    </row>
    <row r="292">
      <c r="A292" s="53" t="n"/>
      <c r="B292" s="53" t="n"/>
      <c r="C292" s="53" t="n"/>
    </row>
    <row r="293">
      <c r="A293" s="53" t="n"/>
      <c r="B293" s="53" t="n"/>
      <c r="C293" s="53" t="n"/>
    </row>
    <row r="294">
      <c r="A294" s="53" t="n"/>
      <c r="B294" s="53" t="n"/>
      <c r="C294" s="53" t="n"/>
    </row>
    <row r="295">
      <c r="A295" s="53" t="n"/>
      <c r="B295" s="53" t="n"/>
      <c r="C295" s="53" t="n"/>
    </row>
    <row r="296">
      <c r="A296" s="53" t="n"/>
      <c r="B296" s="53" t="n"/>
      <c r="C296" s="53" t="n"/>
    </row>
    <row r="297">
      <c r="A297" s="53" t="n"/>
      <c r="B297" s="53" t="n"/>
      <c r="C297" s="53" t="n"/>
    </row>
    <row r="298">
      <c r="A298" s="53" t="n"/>
      <c r="B298" s="53" t="n"/>
      <c r="C298" s="53" t="n"/>
    </row>
    <row r="299">
      <c r="A299" s="53" t="n"/>
      <c r="B299" s="53" t="n"/>
      <c r="C299" s="53" t="n"/>
    </row>
    <row r="300">
      <c r="A300" s="53" t="n"/>
      <c r="B300" s="53" t="n"/>
      <c r="C300" s="53" t="n"/>
    </row>
    <row r="301">
      <c r="A301" s="53" t="n"/>
      <c r="B301" s="53" t="n"/>
      <c r="C301" s="53" t="n"/>
    </row>
    <row r="302">
      <c r="A302" s="53" t="n"/>
      <c r="B302" s="53" t="n"/>
      <c r="C302" s="53" t="n"/>
    </row>
    <row r="303">
      <c r="A303" s="53" t="n"/>
      <c r="B303" s="53" t="n"/>
      <c r="C303" s="53" t="n"/>
    </row>
    <row r="304">
      <c r="A304" s="53" t="n"/>
      <c r="B304" s="53" t="n"/>
      <c r="C304" s="53" t="n"/>
    </row>
    <row r="305">
      <c r="A305" s="53" t="n"/>
      <c r="B305" s="53" t="n"/>
      <c r="C305" s="53" t="n"/>
    </row>
    <row r="306">
      <c r="A306" s="53" t="n"/>
      <c r="B306" s="53" t="n"/>
      <c r="C306" s="53" t="n"/>
    </row>
    <row r="307">
      <c r="A307" s="53" t="n"/>
      <c r="B307" s="53" t="n"/>
      <c r="C307" s="53" t="n"/>
    </row>
    <row r="308">
      <c r="A308" s="53" t="n"/>
      <c r="B308" s="53" t="n"/>
      <c r="C308" s="53" t="n"/>
    </row>
    <row r="309">
      <c r="A309" s="53" t="n"/>
      <c r="B309" s="53" t="n"/>
      <c r="C309" s="53" t="n"/>
    </row>
    <row r="310">
      <c r="A310" s="53" t="n"/>
      <c r="B310" s="53" t="n"/>
      <c r="C310" s="53" t="n"/>
    </row>
    <row r="311">
      <c r="A311" s="53" t="n"/>
      <c r="B311" s="53" t="n"/>
      <c r="C311" s="53" t="n"/>
    </row>
    <row r="312">
      <c r="A312" s="53" t="n"/>
      <c r="B312" s="53" t="n"/>
      <c r="C312" s="53" t="n"/>
    </row>
    <row r="313">
      <c r="A313" s="53" t="n"/>
      <c r="B313" s="53" t="n"/>
      <c r="C313" s="53" t="n"/>
    </row>
    <row r="314">
      <c r="A314" s="53" t="n"/>
      <c r="B314" s="53" t="n"/>
      <c r="C314" s="53" t="n"/>
    </row>
    <row r="315">
      <c r="A315" s="53" t="n"/>
      <c r="B315" s="53" t="n"/>
      <c r="C315" s="53" t="n"/>
    </row>
    <row r="316">
      <c r="A316" s="53" t="n"/>
      <c r="B316" s="53" t="n"/>
      <c r="C316" s="53" t="n"/>
    </row>
    <row r="317">
      <c r="A317" s="53" t="n"/>
      <c r="B317" s="53" t="n"/>
      <c r="C317" s="53" t="n"/>
    </row>
    <row r="318">
      <c r="A318" s="53" t="n"/>
      <c r="B318" s="53" t="n"/>
      <c r="C318" s="53" t="n"/>
    </row>
    <row r="319">
      <c r="A319" s="53" t="n"/>
      <c r="B319" s="53" t="n"/>
      <c r="C319" s="53" t="n"/>
    </row>
    <row r="320">
      <c r="A320" s="53" t="n"/>
      <c r="B320" s="53" t="n"/>
      <c r="C320" s="53" t="n"/>
    </row>
    <row r="321">
      <c r="A321" s="53" t="n"/>
      <c r="B321" s="53" t="n"/>
      <c r="C321" s="53" t="n"/>
    </row>
    <row r="322">
      <c r="A322" s="53" t="n"/>
      <c r="B322" s="53" t="n"/>
      <c r="C322" s="53" t="n"/>
    </row>
    <row r="323">
      <c r="A323" s="53" t="n"/>
      <c r="B323" s="53" t="n"/>
      <c r="C323" s="53" t="n"/>
    </row>
    <row r="324">
      <c r="A324" s="53" t="n"/>
      <c r="B324" s="53" t="n"/>
      <c r="C324" s="53" t="n"/>
    </row>
    <row r="325">
      <c r="A325" s="53" t="n"/>
      <c r="B325" s="53" t="n"/>
      <c r="C325" s="53" t="n"/>
    </row>
    <row r="326">
      <c r="A326" s="53" t="n"/>
      <c r="B326" s="53" t="n"/>
      <c r="C326" s="53" t="n"/>
    </row>
    <row r="327">
      <c r="A327" s="53" t="n"/>
      <c r="B327" s="53" t="n"/>
      <c r="C327" s="53" t="n"/>
    </row>
    <row r="328">
      <c r="A328" s="53" t="n"/>
      <c r="B328" s="53" t="n"/>
      <c r="C328" s="53" t="n"/>
    </row>
    <row r="329">
      <c r="A329" s="53" t="n"/>
      <c r="B329" s="53" t="n"/>
      <c r="C329" s="53" t="n"/>
    </row>
    <row r="330">
      <c r="A330" s="53" t="n"/>
      <c r="B330" s="53" t="n"/>
      <c r="C330" s="53" t="n"/>
    </row>
    <row r="331">
      <c r="A331" s="53" t="n"/>
      <c r="B331" s="53" t="n"/>
      <c r="C331" s="53" t="n"/>
    </row>
    <row r="332">
      <c r="A332" s="53" t="n"/>
      <c r="B332" s="53" t="n"/>
      <c r="C332" s="53" t="n"/>
    </row>
    <row r="333">
      <c r="A333" s="53" t="n"/>
      <c r="B333" s="53" t="n"/>
      <c r="C333" s="53" t="n"/>
    </row>
    <row r="334">
      <c r="A334" s="53" t="n"/>
      <c r="B334" s="53" t="n"/>
      <c r="C334" s="53" t="n"/>
    </row>
    <row r="335">
      <c r="A335" s="53" t="n"/>
      <c r="B335" s="53" t="n"/>
      <c r="C335" s="53" t="n"/>
    </row>
    <row r="336">
      <c r="A336" s="53" t="n"/>
      <c r="B336" s="53" t="n"/>
      <c r="C336" s="53" t="n"/>
    </row>
    <row r="337">
      <c r="A337" s="53" t="n"/>
      <c r="B337" s="53" t="n"/>
      <c r="C337" s="53" t="n"/>
    </row>
    <row r="338">
      <c r="A338" s="53" t="n"/>
      <c r="B338" s="53" t="n"/>
      <c r="C338" s="53" t="n"/>
    </row>
    <row r="339">
      <c r="A339" s="53" t="n"/>
      <c r="B339" s="53" t="n"/>
      <c r="C339" s="53" t="n"/>
    </row>
    <row r="340">
      <c r="A340" s="53" t="n"/>
      <c r="B340" s="53" t="n"/>
      <c r="C340" s="53" t="n"/>
    </row>
    <row r="341">
      <c r="A341" s="53" t="n"/>
      <c r="B341" s="53" t="n"/>
      <c r="C341" s="53" t="n"/>
    </row>
    <row r="342">
      <c r="A342" s="53" t="n"/>
      <c r="B342" s="53" t="n"/>
      <c r="C342" s="53" t="n"/>
    </row>
    <row r="343">
      <c r="A343" s="53" t="n"/>
      <c r="B343" s="53" t="n"/>
      <c r="C343" s="53" t="n"/>
    </row>
    <row r="344">
      <c r="A344" s="53" t="n"/>
      <c r="B344" s="53" t="n"/>
      <c r="C344" s="53" t="n"/>
    </row>
    <row r="345">
      <c r="A345" s="53" t="n"/>
      <c r="B345" s="53" t="n"/>
      <c r="C345" s="53" t="n"/>
    </row>
    <row r="346">
      <c r="A346" s="53" t="n"/>
      <c r="B346" s="53" t="n"/>
      <c r="C346" s="53" t="n"/>
    </row>
    <row r="347">
      <c r="A347" s="53" t="n"/>
      <c r="B347" s="53" t="n"/>
      <c r="C347" s="53" t="n"/>
    </row>
    <row r="348">
      <c r="A348" s="53" t="n"/>
      <c r="B348" s="53" t="n"/>
      <c r="C348" s="53" t="n"/>
    </row>
    <row r="349">
      <c r="A349" s="53" t="n"/>
      <c r="B349" s="53" t="n"/>
      <c r="C349" s="53" t="n"/>
    </row>
    <row r="350">
      <c r="A350" s="53" t="n"/>
      <c r="B350" s="53" t="n"/>
      <c r="C350" s="53" t="n"/>
    </row>
    <row r="351">
      <c r="A351" s="53" t="n"/>
      <c r="B351" s="53" t="n"/>
      <c r="C351" s="53" t="n"/>
    </row>
    <row r="352">
      <c r="A352" s="53" t="n"/>
      <c r="B352" s="53" t="n"/>
      <c r="C352" s="53" t="n"/>
    </row>
    <row r="353">
      <c r="A353" s="53" t="n"/>
      <c r="B353" s="53" t="n"/>
      <c r="C353" s="53" t="n"/>
    </row>
    <row r="354">
      <c r="A354" s="53" t="n"/>
      <c r="B354" s="53" t="n"/>
      <c r="C354" s="53" t="n"/>
    </row>
    <row r="355">
      <c r="A355" s="53" t="n"/>
      <c r="B355" s="53" t="n"/>
      <c r="C355" s="53" t="n"/>
    </row>
    <row r="356">
      <c r="A356" s="53" t="n"/>
      <c r="B356" s="53" t="n"/>
      <c r="C356" s="53" t="n"/>
    </row>
    <row r="357">
      <c r="A357" s="53" t="n"/>
      <c r="B357" s="53" t="n"/>
      <c r="C357" s="53" t="n"/>
    </row>
    <row r="358">
      <c r="A358" s="53" t="n"/>
      <c r="B358" s="53" t="n"/>
      <c r="C358" s="53" t="n"/>
    </row>
    <row r="359">
      <c r="A359" s="53" t="n"/>
      <c r="B359" s="53" t="n"/>
      <c r="C359" s="53" t="n"/>
    </row>
    <row r="360">
      <c r="A360" s="53" t="n"/>
      <c r="B360" s="53" t="n"/>
      <c r="C360" s="53" t="n"/>
    </row>
    <row r="361">
      <c r="A361" s="53" t="n"/>
      <c r="B361" s="53" t="n"/>
      <c r="C361" s="53" t="n"/>
    </row>
    <row r="362">
      <c r="A362" s="53" t="n"/>
      <c r="B362" s="53" t="n"/>
      <c r="C362" s="53" t="n"/>
    </row>
    <row r="363">
      <c r="A363" s="53" t="n"/>
      <c r="B363" s="53" t="n"/>
      <c r="C363" s="53" t="n"/>
    </row>
    <row r="364">
      <c r="A364" s="53" t="n"/>
      <c r="B364" s="53" t="n"/>
      <c r="C364" s="53" t="n"/>
    </row>
    <row r="365">
      <c r="A365" s="53" t="n"/>
      <c r="B365" s="53" t="n"/>
      <c r="C365" s="53" t="n"/>
    </row>
    <row r="366">
      <c r="A366" s="53" t="n"/>
      <c r="B366" s="53" t="n"/>
      <c r="C366" s="53" t="n"/>
    </row>
    <row r="367">
      <c r="A367" s="53" t="n"/>
      <c r="B367" s="53" t="n"/>
      <c r="C367" s="53" t="n"/>
    </row>
    <row r="368">
      <c r="A368" s="53" t="n"/>
      <c r="B368" s="53" t="n"/>
      <c r="C368" s="53" t="n"/>
    </row>
    <row r="369">
      <c r="A369" s="53" t="n"/>
      <c r="B369" s="53" t="n"/>
      <c r="C369" s="53" t="n"/>
    </row>
    <row r="370">
      <c r="A370" s="53" t="n"/>
      <c r="B370" s="53" t="n"/>
      <c r="C370" s="53" t="n"/>
    </row>
    <row r="371">
      <c r="A371" s="53" t="n"/>
      <c r="B371" s="53" t="n"/>
      <c r="C371" s="53" t="n"/>
    </row>
    <row r="372">
      <c r="A372" s="53" t="n"/>
      <c r="B372" s="53" t="n"/>
      <c r="C372" s="53" t="n"/>
    </row>
    <row r="373">
      <c r="A373" s="53" t="n"/>
      <c r="B373" s="53" t="n"/>
      <c r="C373" s="53" t="n"/>
    </row>
    <row r="374">
      <c r="A374" s="53" t="n"/>
      <c r="B374" s="53" t="n"/>
      <c r="C374" s="53" t="n"/>
    </row>
    <row r="375">
      <c r="A375" s="53" t="n"/>
      <c r="B375" s="53" t="n"/>
      <c r="C375" s="53" t="n"/>
    </row>
    <row r="376">
      <c r="A376" s="53" t="n"/>
      <c r="B376" s="53" t="n"/>
      <c r="C376" s="53" t="n"/>
    </row>
    <row r="377">
      <c r="A377" s="53" t="n"/>
      <c r="B377" s="53" t="n"/>
      <c r="C377" s="53" t="n"/>
    </row>
    <row r="378">
      <c r="A378" s="53" t="n"/>
      <c r="B378" s="53" t="n"/>
      <c r="C378" s="53" t="n"/>
    </row>
    <row r="379">
      <c r="A379" s="53" t="n"/>
      <c r="B379" s="53" t="n"/>
      <c r="C379" s="53" t="n"/>
    </row>
    <row r="380">
      <c r="A380" s="53" t="n"/>
      <c r="B380" s="53" t="n"/>
      <c r="C380" s="53" t="n"/>
    </row>
    <row r="381">
      <c r="A381" s="53" t="n"/>
      <c r="B381" s="53" t="n"/>
      <c r="C381" s="53" t="n"/>
    </row>
    <row r="382">
      <c r="A382" s="53" t="n"/>
      <c r="B382" s="53" t="n"/>
      <c r="C382" s="53" t="n"/>
    </row>
    <row r="383">
      <c r="A383" s="53" t="n"/>
      <c r="B383" s="53" t="n"/>
      <c r="C383" s="53" t="n"/>
    </row>
    <row r="384">
      <c r="A384" s="53" t="n"/>
      <c r="B384" s="53" t="n"/>
      <c r="C384" s="53" t="n"/>
    </row>
    <row r="385">
      <c r="A385" s="53" t="n"/>
      <c r="B385" s="53" t="n"/>
      <c r="C385" s="53" t="n"/>
    </row>
    <row r="386">
      <c r="A386" s="53" t="n"/>
      <c r="B386" s="53" t="n"/>
      <c r="C386" s="53" t="n"/>
    </row>
    <row r="387">
      <c r="A387" s="53" t="n"/>
      <c r="B387" s="53" t="n"/>
      <c r="C387" s="53" t="n"/>
    </row>
    <row r="388">
      <c r="A388" s="53" t="n"/>
      <c r="B388" s="53" t="n"/>
      <c r="C388" s="53" t="n"/>
    </row>
    <row r="389">
      <c r="A389" s="53" t="n"/>
      <c r="B389" s="53" t="n"/>
      <c r="C389" s="53" t="n"/>
    </row>
    <row r="390">
      <c r="A390" s="53" t="n"/>
      <c r="B390" s="53" t="n"/>
      <c r="C390" s="53" t="n"/>
    </row>
    <row r="391">
      <c r="A391" s="53" t="n"/>
      <c r="B391" s="53" t="n"/>
      <c r="C391" s="53" t="n"/>
    </row>
    <row r="392">
      <c r="A392" s="53" t="n"/>
      <c r="B392" s="53" t="n"/>
      <c r="C392" s="53" t="n"/>
    </row>
    <row r="393">
      <c r="A393" s="53" t="n"/>
      <c r="B393" s="53" t="n"/>
      <c r="C393" s="53" t="n"/>
    </row>
    <row r="394">
      <c r="A394" s="53" t="n"/>
      <c r="B394" s="53" t="n"/>
      <c r="C394" s="53" t="n"/>
    </row>
    <row r="395">
      <c r="A395" s="53" t="n"/>
      <c r="B395" s="53" t="n"/>
      <c r="C395" s="53" t="n"/>
    </row>
    <row r="396">
      <c r="A396" s="53" t="n"/>
      <c r="B396" s="53" t="n"/>
      <c r="C396" s="53" t="n"/>
    </row>
    <row r="397">
      <c r="A397" s="53" t="n"/>
      <c r="B397" s="53" t="n"/>
      <c r="C397" s="53" t="n"/>
    </row>
    <row r="398">
      <c r="A398" s="53" t="n"/>
      <c r="B398" s="53" t="n"/>
      <c r="C398" s="53" t="n"/>
    </row>
    <row r="399">
      <c r="A399" s="53" t="n"/>
      <c r="B399" s="53" t="n"/>
      <c r="C399" s="53" t="n"/>
    </row>
    <row r="400">
      <c r="A400" s="53" t="n"/>
      <c r="B400" s="53" t="n"/>
      <c r="C400" s="53" t="n"/>
    </row>
    <row r="401">
      <c r="A401" s="53" t="n"/>
      <c r="B401" s="53" t="n"/>
      <c r="C401" s="53" t="n"/>
    </row>
    <row r="402">
      <c r="A402" s="53" t="n"/>
      <c r="B402" s="53" t="n"/>
      <c r="C402" s="53" t="n"/>
    </row>
    <row r="403">
      <c r="A403" s="53" t="n"/>
      <c r="B403" s="53" t="n"/>
      <c r="C403" s="53" t="n"/>
    </row>
    <row r="404">
      <c r="A404" s="53" t="n"/>
      <c r="B404" s="53" t="n"/>
      <c r="C404" s="53" t="n"/>
    </row>
    <row r="405">
      <c r="A405" s="53" t="n"/>
      <c r="B405" s="53" t="n"/>
      <c r="C405" s="53" t="n"/>
    </row>
    <row r="406">
      <c r="A406" s="53" t="n"/>
      <c r="B406" s="53" t="n"/>
      <c r="C406" s="53" t="n"/>
    </row>
    <row r="407">
      <c r="A407" s="53" t="n"/>
      <c r="B407" s="53" t="n"/>
      <c r="C407" s="53" t="n"/>
    </row>
    <row r="408">
      <c r="A408" s="53" t="n"/>
      <c r="B408" s="53" t="n"/>
      <c r="C408" s="53" t="n"/>
    </row>
    <row r="409">
      <c r="A409" s="53" t="n"/>
      <c r="B409" s="53" t="n"/>
      <c r="C409" s="53" t="n"/>
    </row>
    <row r="410">
      <c r="A410" s="53" t="n"/>
      <c r="B410" s="53" t="n"/>
      <c r="C410" s="53" t="n"/>
    </row>
    <row r="411">
      <c r="A411" s="53" t="n"/>
      <c r="B411" s="53" t="n"/>
      <c r="C411" s="53" t="n"/>
    </row>
    <row r="412">
      <c r="A412" s="53" t="n"/>
      <c r="B412" s="53" t="n"/>
      <c r="C412" s="53" t="n"/>
    </row>
    <row r="413">
      <c r="A413" s="53" t="n"/>
      <c r="B413" s="53" t="n"/>
      <c r="C413" s="53" t="n"/>
    </row>
    <row r="414">
      <c r="A414" s="53" t="n"/>
      <c r="B414" s="53" t="n"/>
      <c r="C414" s="53" t="n"/>
    </row>
    <row r="415">
      <c r="A415" s="53" t="n"/>
      <c r="B415" s="53" t="n"/>
      <c r="C415" s="53" t="n"/>
    </row>
    <row r="416">
      <c r="A416" s="53" t="n"/>
      <c r="B416" s="53" t="n"/>
      <c r="C416" s="53" t="n"/>
    </row>
    <row r="417">
      <c r="A417" s="53" t="n"/>
      <c r="B417" s="53" t="n"/>
      <c r="C417" s="53" t="n"/>
    </row>
    <row r="418">
      <c r="A418" s="53" t="n"/>
      <c r="B418" s="53" t="n"/>
      <c r="C418" s="53" t="n"/>
    </row>
    <row r="419">
      <c r="A419" s="53" t="n"/>
      <c r="B419" s="53" t="n"/>
      <c r="C419" s="53" t="n"/>
    </row>
    <row r="420">
      <c r="A420" s="53" t="n"/>
      <c r="B420" s="53" t="n"/>
      <c r="C420" s="53" t="n"/>
    </row>
    <row r="421">
      <c r="A421" s="53" t="n"/>
      <c r="B421" s="53" t="n"/>
      <c r="C421" s="53" t="n"/>
    </row>
    <row r="422">
      <c r="A422" s="53" t="n"/>
      <c r="B422" s="53" t="n"/>
      <c r="C422" s="53" t="n"/>
    </row>
    <row r="423">
      <c r="A423" s="53" t="n"/>
      <c r="B423" s="53" t="n"/>
      <c r="C423" s="53" t="n"/>
    </row>
    <row r="424">
      <c r="A424" s="53" t="n"/>
      <c r="B424" s="53" t="n"/>
      <c r="C424" s="53" t="n"/>
    </row>
    <row r="425">
      <c r="A425" s="53" t="n"/>
      <c r="B425" s="53" t="n"/>
      <c r="C425" s="53" t="n"/>
    </row>
    <row r="426">
      <c r="A426" s="53" t="n"/>
      <c r="B426" s="53" t="n"/>
      <c r="C426" s="53" t="n"/>
    </row>
    <row r="427">
      <c r="A427" s="53" t="n"/>
      <c r="B427" s="53" t="n"/>
      <c r="C427" s="53" t="n"/>
    </row>
    <row r="428">
      <c r="A428" s="53" t="n"/>
      <c r="B428" s="53" t="n"/>
      <c r="C428" s="53" t="n"/>
    </row>
    <row r="429">
      <c r="A429" s="53" t="n"/>
      <c r="B429" s="53" t="n"/>
      <c r="C429" s="53" t="n"/>
    </row>
    <row r="430">
      <c r="A430" s="53" t="n"/>
      <c r="B430" s="53" t="n"/>
      <c r="C430" s="53" t="n"/>
    </row>
    <row r="431">
      <c r="A431" s="53" t="n"/>
      <c r="B431" s="53" t="n"/>
      <c r="C431" s="53" t="n"/>
    </row>
    <row r="432">
      <c r="A432" s="53" t="n"/>
      <c r="B432" s="53" t="n"/>
      <c r="C432" s="53" t="n"/>
    </row>
    <row r="433">
      <c r="A433" s="53" t="n"/>
      <c r="B433" s="53" t="n"/>
      <c r="C433" s="53" t="n"/>
    </row>
    <row r="434">
      <c r="A434" s="53" t="n"/>
      <c r="B434" s="53" t="n"/>
      <c r="C434" s="53" t="n"/>
    </row>
    <row r="435">
      <c r="A435" s="53" t="n"/>
      <c r="B435" s="53" t="n"/>
      <c r="C435" s="53" t="n"/>
    </row>
    <row r="436">
      <c r="A436" s="53" t="n"/>
      <c r="B436" s="53" t="n"/>
      <c r="C436" s="53" t="n"/>
    </row>
    <row r="437">
      <c r="A437" s="53" t="n"/>
      <c r="B437" s="53" t="n"/>
      <c r="C437" s="53" t="n"/>
    </row>
    <row r="438">
      <c r="A438" s="53" t="n"/>
      <c r="B438" s="53" t="n"/>
      <c r="C438" s="53" t="n"/>
    </row>
    <row r="439">
      <c r="A439" s="53" t="n"/>
      <c r="B439" s="53" t="n"/>
      <c r="C439" s="53" t="n"/>
    </row>
    <row r="440">
      <c r="A440" s="53" t="n"/>
      <c r="B440" s="53" t="n"/>
      <c r="C440" s="53" t="n"/>
    </row>
    <row r="441">
      <c r="A441" s="53" t="n"/>
      <c r="B441" s="53" t="n"/>
      <c r="C441" s="53" t="n"/>
    </row>
    <row r="442">
      <c r="A442" s="53" t="n"/>
      <c r="B442" s="53" t="n"/>
      <c r="C442" s="53" t="n"/>
    </row>
    <row r="443">
      <c r="A443" s="53" t="n"/>
      <c r="B443" s="53" t="n"/>
      <c r="C443" s="53" t="n"/>
    </row>
    <row r="444">
      <c r="A444" s="53" t="n"/>
      <c r="B444" s="53" t="n"/>
      <c r="C444" s="53" t="n"/>
    </row>
    <row r="445">
      <c r="A445" s="53" t="n"/>
      <c r="B445" s="53" t="n"/>
      <c r="C445" s="53" t="n"/>
    </row>
    <row r="446">
      <c r="A446" s="53" t="n"/>
      <c r="B446" s="53" t="n"/>
      <c r="C446" s="53" t="n"/>
    </row>
    <row r="447">
      <c r="A447" s="53" t="n"/>
      <c r="B447" s="53" t="n"/>
      <c r="C447" s="53" t="n"/>
    </row>
    <row r="448">
      <c r="A448" s="53" t="n"/>
      <c r="B448" s="53" t="n"/>
      <c r="C448" s="53" t="n"/>
    </row>
    <row r="449">
      <c r="A449" s="53" t="n"/>
      <c r="B449" s="53" t="n"/>
      <c r="C449" s="53" t="n"/>
    </row>
    <row r="450">
      <c r="A450" s="53" t="n"/>
      <c r="B450" s="53" t="n"/>
      <c r="C450" s="53" t="n"/>
    </row>
    <row r="451">
      <c r="A451" s="53" t="n"/>
      <c r="B451" s="53" t="n"/>
      <c r="C451" s="53" t="n"/>
    </row>
    <row r="452">
      <c r="A452" s="53" t="n"/>
      <c r="B452" s="53" t="n"/>
      <c r="C452" s="53" t="n"/>
    </row>
    <row r="453">
      <c r="A453" s="53" t="n"/>
      <c r="B453" s="53" t="n"/>
      <c r="C453" s="53" t="n"/>
    </row>
    <row r="454">
      <c r="A454" s="53" t="n"/>
      <c r="B454" s="53" t="n"/>
      <c r="C454" s="53" t="n"/>
    </row>
    <row r="455">
      <c r="A455" s="53" t="n"/>
      <c r="B455" s="53" t="n"/>
      <c r="C455" s="53" t="n"/>
    </row>
    <row r="456">
      <c r="A456" s="53" t="n"/>
      <c r="B456" s="53" t="n"/>
      <c r="C456" s="53" t="n"/>
    </row>
    <row r="457">
      <c r="A457" s="53" t="n"/>
      <c r="B457" s="53" t="n"/>
      <c r="C457" s="53" t="n"/>
    </row>
    <row r="458">
      <c r="A458" s="53" t="n"/>
      <c r="B458" s="53" t="n"/>
      <c r="C458" s="53" t="n"/>
    </row>
    <row r="459">
      <c r="A459" s="53" t="n"/>
      <c r="B459" s="53" t="n"/>
      <c r="C459" s="53" t="n"/>
    </row>
    <row r="460">
      <c r="A460" s="53" t="n"/>
      <c r="B460" s="53" t="n"/>
      <c r="C460" s="53" t="n"/>
    </row>
    <row r="461">
      <c r="A461" s="53" t="n"/>
      <c r="B461" s="53" t="n"/>
      <c r="C461" s="53" t="n"/>
    </row>
    <row r="462">
      <c r="A462" s="53" t="n"/>
      <c r="B462" s="53" t="n"/>
      <c r="C462" s="53" t="n"/>
    </row>
    <row r="463">
      <c r="A463" s="53" t="n"/>
      <c r="B463" s="53" t="n"/>
      <c r="C463" s="53" t="n"/>
    </row>
    <row r="464">
      <c r="A464" s="53" t="n"/>
      <c r="B464" s="53" t="n"/>
      <c r="C464" s="53" t="n"/>
    </row>
    <row r="465">
      <c r="A465" s="53" t="n"/>
      <c r="B465" s="53" t="n"/>
      <c r="C465" s="53" t="n"/>
    </row>
    <row r="466">
      <c r="A466" s="53" t="n"/>
      <c r="B466" s="53" t="n"/>
      <c r="C466" s="53" t="n"/>
    </row>
    <row r="467">
      <c r="A467" s="53" t="n"/>
      <c r="B467" s="53" t="n"/>
      <c r="C467" s="53" t="n"/>
    </row>
    <row r="468">
      <c r="A468" s="53" t="n"/>
      <c r="B468" s="53" t="n"/>
      <c r="C468" s="53" t="n"/>
    </row>
    <row r="469">
      <c r="A469" s="53" t="n"/>
      <c r="B469" s="53" t="n"/>
      <c r="C469" s="53" t="n"/>
    </row>
    <row r="470">
      <c r="A470" s="53" t="n"/>
      <c r="B470" s="53" t="n"/>
      <c r="C470" s="53" t="n"/>
    </row>
    <row r="471">
      <c r="A471" s="53" t="n"/>
      <c r="B471" s="53" t="n"/>
      <c r="C471" s="53" t="n"/>
    </row>
    <row r="472">
      <c r="A472" s="53" t="n"/>
      <c r="B472" s="53" t="n"/>
      <c r="C472" s="53" t="n"/>
    </row>
    <row r="473">
      <c r="A473" s="53" t="n"/>
      <c r="B473" s="53" t="n"/>
      <c r="C473" s="53" t="n"/>
    </row>
    <row r="474">
      <c r="A474" s="53" t="n"/>
      <c r="B474" s="53" t="n"/>
      <c r="C474" s="53" t="n"/>
    </row>
    <row r="475">
      <c r="A475" s="53" t="n"/>
      <c r="B475" s="53" t="n"/>
      <c r="C475" s="53" t="n"/>
    </row>
    <row r="476">
      <c r="A476" s="53" t="n"/>
      <c r="B476" s="53" t="n"/>
      <c r="C476" s="53" t="n"/>
    </row>
    <row r="477">
      <c r="A477" s="53" t="n"/>
      <c r="B477" s="53" t="n"/>
      <c r="C477" s="53" t="n"/>
    </row>
    <row r="478">
      <c r="A478" s="53" t="n"/>
      <c r="B478" s="53" t="n"/>
      <c r="C478" s="53" t="n"/>
    </row>
    <row r="479">
      <c r="A479" s="53" t="n"/>
      <c r="B479" s="53" t="n"/>
      <c r="C479" s="53" t="n"/>
    </row>
    <row r="480">
      <c r="A480" s="53" t="n"/>
      <c r="B480" s="53" t="n"/>
      <c r="C480" s="53" t="n"/>
    </row>
    <row r="481">
      <c r="A481" s="53" t="n"/>
      <c r="B481" s="53" t="n"/>
      <c r="C481" s="53" t="n"/>
    </row>
    <row r="482">
      <c r="A482" s="53" t="n"/>
      <c r="B482" s="53" t="n"/>
      <c r="C482" s="53" t="n"/>
    </row>
    <row r="483">
      <c r="A483" s="53" t="n"/>
      <c r="B483" s="53" t="n"/>
      <c r="C483" s="53" t="n"/>
    </row>
    <row r="484">
      <c r="A484" s="53" t="n"/>
      <c r="B484" s="53" t="n"/>
      <c r="C484" s="53" t="n"/>
    </row>
    <row r="485">
      <c r="A485" s="53" t="n"/>
      <c r="B485" s="53" t="n"/>
      <c r="C485" s="53" t="n"/>
    </row>
    <row r="486">
      <c r="A486" s="53" t="n"/>
      <c r="B486" s="53" t="n"/>
      <c r="C486" s="53" t="n"/>
    </row>
    <row r="487">
      <c r="A487" s="53" t="n"/>
      <c r="B487" s="53" t="n"/>
      <c r="C487" s="53" t="n"/>
    </row>
    <row r="488">
      <c r="A488" s="53" t="n"/>
      <c r="B488" s="53" t="n"/>
      <c r="C488" s="53" t="n"/>
    </row>
    <row r="489">
      <c r="A489" s="53" t="n"/>
      <c r="B489" s="53" t="n"/>
      <c r="C489" s="53" t="n"/>
    </row>
    <row r="490">
      <c r="A490" s="53" t="n"/>
      <c r="B490" s="53" t="n"/>
      <c r="C490" s="53" t="n"/>
    </row>
    <row r="491">
      <c r="A491" s="53" t="n"/>
      <c r="B491" s="53" t="n"/>
      <c r="C491" s="53" t="n"/>
    </row>
    <row r="492">
      <c r="A492" s="53" t="n"/>
      <c r="B492" s="53" t="n"/>
      <c r="C492" s="53" t="n"/>
    </row>
    <row r="493">
      <c r="A493" s="53" t="n"/>
      <c r="B493" s="53" t="n"/>
      <c r="C493" s="53" t="n"/>
    </row>
    <row r="494">
      <c r="A494" s="53" t="n"/>
      <c r="B494" s="53" t="n"/>
      <c r="C494" s="53" t="n"/>
    </row>
    <row r="495">
      <c r="A495" s="53" t="n"/>
      <c r="B495" s="53" t="n"/>
      <c r="C495" s="53" t="n"/>
    </row>
    <row r="496">
      <c r="A496" s="53" t="n"/>
      <c r="B496" s="53" t="n"/>
      <c r="C496" s="53" t="n"/>
    </row>
    <row r="497">
      <c r="A497" s="53" t="n"/>
      <c r="B497" s="53" t="n"/>
      <c r="C497" s="53" t="n"/>
    </row>
    <row r="498">
      <c r="A498" s="53" t="n"/>
      <c r="B498" s="53" t="n"/>
      <c r="C498" s="53" t="n"/>
    </row>
    <row r="499">
      <c r="A499" s="53" t="n"/>
      <c r="B499" s="53" t="n"/>
      <c r="C499" s="53" t="n"/>
    </row>
    <row r="500">
      <c r="A500" s="53" t="n"/>
      <c r="B500" s="53" t="n"/>
      <c r="C500" s="53" t="n"/>
    </row>
    <row r="501">
      <c r="A501" s="53" t="n"/>
      <c r="B501" s="53" t="n"/>
      <c r="C501" s="53" t="n"/>
    </row>
    <row r="502">
      <c r="A502" s="53" t="n"/>
      <c r="B502" s="53" t="n"/>
      <c r="C502" s="53" t="n"/>
    </row>
    <row r="503">
      <c r="A503" s="53" t="n"/>
      <c r="B503" s="53" t="n"/>
      <c r="C503" s="53" t="n"/>
    </row>
    <row r="504">
      <c r="A504" s="53" t="n"/>
      <c r="B504" s="53" t="n"/>
      <c r="C504" s="53" t="n"/>
    </row>
    <row r="505">
      <c r="A505" s="53" t="n"/>
      <c r="B505" s="53" t="n"/>
      <c r="C505" s="53" t="n"/>
    </row>
    <row r="506">
      <c r="A506" s="53" t="n"/>
      <c r="B506" s="53" t="n"/>
      <c r="C506" s="53" t="n"/>
    </row>
    <row r="507">
      <c r="A507" s="53" t="n"/>
      <c r="B507" s="53" t="n"/>
      <c r="C507" s="53" t="n"/>
    </row>
    <row r="508">
      <c r="A508" s="53" t="n"/>
      <c r="B508" s="53" t="n"/>
      <c r="C508" s="53" t="n"/>
    </row>
    <row r="509">
      <c r="A509" s="53" t="n"/>
      <c r="B509" s="53" t="n"/>
      <c r="C509" s="53" t="n"/>
    </row>
    <row r="510">
      <c r="A510" s="53" t="n"/>
      <c r="B510" s="53" t="n"/>
      <c r="C510" s="53" t="n"/>
    </row>
    <row r="511">
      <c r="A511" s="53" t="n"/>
      <c r="B511" s="53" t="n"/>
      <c r="C511" s="53" t="n"/>
    </row>
    <row r="512">
      <c r="A512" s="53" t="n"/>
      <c r="B512" s="53" t="n"/>
      <c r="C512" s="53" t="n"/>
    </row>
    <row r="513">
      <c r="A513" s="53" t="n"/>
      <c r="B513" s="53" t="n"/>
      <c r="C513" s="53" t="n"/>
    </row>
    <row r="514">
      <c r="A514" s="53" t="n"/>
      <c r="B514" s="53" t="n"/>
      <c r="C514" s="53" t="n"/>
    </row>
    <row r="515">
      <c r="A515" s="53" t="n"/>
      <c r="B515" s="53" t="n"/>
      <c r="C515" s="53" t="n"/>
    </row>
    <row r="516">
      <c r="A516" s="53" t="n"/>
      <c r="B516" s="53" t="n"/>
      <c r="C516" s="53" t="n"/>
    </row>
    <row r="517">
      <c r="A517" s="53" t="n"/>
      <c r="B517" s="53" t="n"/>
      <c r="C517" s="53" t="n"/>
    </row>
    <row r="518">
      <c r="A518" s="53" t="n"/>
      <c r="B518" s="53" t="n"/>
      <c r="C518" s="53" t="n"/>
    </row>
    <row r="519">
      <c r="A519" s="53" t="n"/>
      <c r="B519" s="53" t="n"/>
      <c r="C519" s="53" t="n"/>
    </row>
    <row r="520">
      <c r="A520" s="53" t="n"/>
      <c r="B520" s="53" t="n"/>
      <c r="C520" s="53" t="n"/>
    </row>
    <row r="521">
      <c r="A521" s="53" t="n"/>
      <c r="B521" s="53" t="n"/>
      <c r="C521" s="53" t="n"/>
    </row>
    <row r="522">
      <c r="A522" s="53" t="n"/>
      <c r="B522" s="53" t="n"/>
      <c r="C522" s="53" t="n"/>
    </row>
    <row r="523">
      <c r="A523" s="53" t="n"/>
      <c r="B523" s="53" t="n"/>
      <c r="C523" s="53" t="n"/>
    </row>
    <row r="524">
      <c r="A524" s="53" t="n"/>
      <c r="B524" s="53" t="n"/>
      <c r="C524" s="53" t="n"/>
    </row>
    <row r="525">
      <c r="A525" s="53" t="n"/>
      <c r="B525" s="53" t="n"/>
      <c r="C525" s="53" t="n"/>
    </row>
    <row r="526">
      <c r="A526" s="53" t="n"/>
      <c r="B526" s="53" t="n"/>
      <c r="C526" s="53" t="n"/>
    </row>
    <row r="527">
      <c r="A527" s="53" t="n"/>
      <c r="B527" s="53" t="n"/>
      <c r="C527" s="53" t="n"/>
    </row>
    <row r="528">
      <c r="A528" s="53" t="n"/>
      <c r="B528" s="53" t="n"/>
      <c r="C528" s="53" t="n"/>
    </row>
    <row r="529">
      <c r="A529" s="53" t="n"/>
      <c r="B529" s="53" t="n"/>
      <c r="C529" s="53" t="n"/>
    </row>
    <row r="530">
      <c r="A530" s="53" t="n"/>
      <c r="B530" s="53" t="n"/>
      <c r="C530" s="53" t="n"/>
    </row>
    <row r="531">
      <c r="A531" s="53" t="n"/>
      <c r="B531" s="53" t="n"/>
      <c r="C531" s="53" t="n"/>
    </row>
    <row r="532">
      <c r="A532" s="53" t="n"/>
      <c r="B532" s="53" t="n"/>
      <c r="C532" s="53" t="n"/>
    </row>
    <row r="533">
      <c r="A533" s="53" t="n"/>
      <c r="B533" s="53" t="n"/>
      <c r="C533" s="53" t="n"/>
    </row>
    <row r="534">
      <c r="A534" s="53" t="n"/>
      <c r="B534" s="53" t="n"/>
      <c r="C534" s="53" t="n"/>
    </row>
    <row r="535">
      <c r="A535" s="53" t="n"/>
      <c r="B535" s="53" t="n"/>
      <c r="C535" s="53" t="n"/>
    </row>
    <row r="536">
      <c r="A536" s="53" t="n"/>
      <c r="B536" s="53" t="n"/>
      <c r="C536" s="53" t="n"/>
    </row>
    <row r="537">
      <c r="A537" s="53" t="n"/>
      <c r="B537" s="53" t="n"/>
      <c r="C537" s="53" t="n"/>
    </row>
    <row r="538">
      <c r="A538" s="53" t="n"/>
      <c r="B538" s="53" t="n"/>
      <c r="C538" s="53" t="n"/>
    </row>
    <row r="539">
      <c r="A539" s="53" t="n"/>
      <c r="B539" s="53" t="n"/>
      <c r="C539" s="53" t="n"/>
    </row>
    <row r="540">
      <c r="A540" s="53" t="n"/>
      <c r="B540" s="53" t="n"/>
      <c r="C540" s="53" t="n"/>
    </row>
    <row r="541">
      <c r="A541" s="53" t="n"/>
      <c r="B541" s="53" t="n"/>
      <c r="C541" s="53" t="n"/>
    </row>
    <row r="542">
      <c r="A542" s="53" t="n"/>
      <c r="B542" s="53" t="n"/>
      <c r="C542" s="53" t="n"/>
    </row>
    <row r="543">
      <c r="A543" s="53" t="n"/>
      <c r="B543" s="53" t="n"/>
      <c r="C543" s="53" t="n"/>
    </row>
    <row r="544">
      <c r="A544" s="53" t="n"/>
      <c r="B544" s="53" t="n"/>
      <c r="C544" s="53" t="n"/>
    </row>
    <row r="545">
      <c r="A545" s="53" t="n"/>
      <c r="B545" s="53" t="n"/>
      <c r="C545" s="53" t="n"/>
    </row>
    <row r="546">
      <c r="A546" s="53" t="n"/>
      <c r="B546" s="53" t="n"/>
      <c r="C546" s="53" t="n"/>
    </row>
    <row r="547">
      <c r="A547" s="53" t="n"/>
      <c r="B547" s="53" t="n"/>
      <c r="C547" s="53" t="n"/>
    </row>
    <row r="548">
      <c r="A548" s="53" t="n"/>
      <c r="B548" s="53" t="n"/>
      <c r="C548" s="53" t="n"/>
    </row>
    <row r="549">
      <c r="A549" s="53" t="n"/>
      <c r="B549" s="53" t="n"/>
      <c r="C549" s="53" t="n"/>
    </row>
    <row r="550">
      <c r="A550" s="53" t="n"/>
      <c r="B550" s="53" t="n"/>
      <c r="C550" s="53" t="n"/>
    </row>
    <row r="551">
      <c r="A551" s="53" t="n"/>
      <c r="B551" s="53" t="n"/>
      <c r="C551" s="53" t="n"/>
    </row>
    <row r="552">
      <c r="A552" s="53" t="n"/>
      <c r="B552" s="53" t="n"/>
      <c r="C552" s="53" t="n"/>
    </row>
    <row r="553">
      <c r="A553" s="53" t="n"/>
      <c r="B553" s="53" t="n"/>
      <c r="C553" s="53" t="n"/>
    </row>
    <row r="554">
      <c r="A554" s="53" t="n"/>
      <c r="B554" s="53" t="n"/>
      <c r="C554" s="53" t="n"/>
    </row>
    <row r="555">
      <c r="A555" s="53" t="n"/>
      <c r="B555" s="53" t="n"/>
      <c r="C555" s="53" t="n"/>
    </row>
    <row r="556">
      <c r="A556" s="53" t="n"/>
      <c r="B556" s="53" t="n"/>
      <c r="C556" s="53" t="n"/>
    </row>
    <row r="557">
      <c r="A557" s="53" t="n"/>
      <c r="B557" s="53" t="n"/>
      <c r="C557" s="53" t="n"/>
    </row>
    <row r="558">
      <c r="A558" s="53" t="n"/>
      <c r="B558" s="53" t="n"/>
      <c r="C558" s="53" t="n"/>
    </row>
    <row r="559">
      <c r="A559" s="53" t="n"/>
      <c r="B559" s="53" t="n"/>
      <c r="C559" s="53" t="n"/>
    </row>
    <row r="560">
      <c r="A560" s="53" t="n"/>
      <c r="B560" s="53" t="n"/>
      <c r="C560" s="53" t="n"/>
    </row>
    <row r="561">
      <c r="A561" s="53" t="n"/>
      <c r="B561" s="53" t="n"/>
      <c r="C561" s="53" t="n"/>
    </row>
    <row r="562">
      <c r="A562" s="53" t="n"/>
      <c r="B562" s="53" t="n"/>
      <c r="C562" s="53" t="n"/>
    </row>
    <row r="563">
      <c r="A563" s="53" t="n"/>
      <c r="B563" s="53" t="n"/>
      <c r="C563" s="53" t="n"/>
    </row>
    <row r="564">
      <c r="A564" s="53" t="n"/>
      <c r="B564" s="53" t="n"/>
      <c r="C564" s="53" t="n"/>
    </row>
    <row r="565">
      <c r="A565" s="53" t="n"/>
      <c r="B565" s="53" t="n"/>
      <c r="C565" s="53" t="n"/>
    </row>
    <row r="566">
      <c r="A566" s="53" t="n"/>
      <c r="B566" s="53" t="n"/>
      <c r="C566" s="53" t="n"/>
    </row>
    <row r="567">
      <c r="A567" s="53" t="n"/>
      <c r="B567" s="53" t="n"/>
      <c r="C567" s="53" t="n"/>
    </row>
    <row r="568">
      <c r="A568" s="53" t="n"/>
      <c r="B568" s="53" t="n"/>
      <c r="C568" s="53" t="n"/>
    </row>
    <row r="569">
      <c r="A569" s="53" t="n"/>
      <c r="B569" s="53" t="n"/>
      <c r="C569" s="53" t="n"/>
    </row>
    <row r="570">
      <c r="A570" s="53" t="n"/>
      <c r="B570" s="53" t="n"/>
      <c r="C570" s="53" t="n"/>
    </row>
    <row r="571">
      <c r="A571" s="53" t="n"/>
      <c r="B571" s="53" t="n"/>
      <c r="C571" s="53" t="n"/>
    </row>
    <row r="572">
      <c r="A572" s="53" t="n"/>
      <c r="B572" s="53" t="n"/>
      <c r="C572" s="53" t="n"/>
    </row>
    <row r="573">
      <c r="A573" s="53" t="n"/>
      <c r="B573" s="53" t="n"/>
      <c r="C573" s="53" t="n"/>
    </row>
    <row r="574">
      <c r="A574" s="53" t="n"/>
      <c r="B574" s="53" t="n"/>
      <c r="C574" s="53" t="n"/>
    </row>
    <row r="575">
      <c r="A575" s="53" t="n"/>
      <c r="B575" s="53" t="n"/>
      <c r="C575" s="53" t="n"/>
    </row>
    <row r="576">
      <c r="A576" s="53" t="n"/>
      <c r="B576" s="53" t="n"/>
      <c r="C576" s="53" t="n"/>
    </row>
    <row r="577">
      <c r="A577" s="53" t="n"/>
      <c r="B577" s="53" t="n"/>
      <c r="C577" s="53" t="n"/>
    </row>
    <row r="578">
      <c r="A578" s="53" t="n"/>
      <c r="B578" s="53" t="n"/>
      <c r="C578" s="53" t="n"/>
    </row>
    <row r="579">
      <c r="A579" s="53" t="n"/>
      <c r="B579" s="53" t="n"/>
      <c r="C579" s="53" t="n"/>
    </row>
    <row r="580">
      <c r="A580" s="53" t="n"/>
      <c r="B580" s="53" t="n"/>
      <c r="C580" s="53" t="n"/>
    </row>
    <row r="581">
      <c r="A581" s="53" t="n"/>
      <c r="B581" s="53" t="n"/>
      <c r="C581" s="53" t="n"/>
    </row>
    <row r="582">
      <c r="A582" s="53" t="n"/>
      <c r="B582" s="53" t="n"/>
      <c r="C582" s="53" t="n"/>
    </row>
    <row r="583">
      <c r="A583" s="53" t="n"/>
      <c r="B583" s="53" t="n"/>
      <c r="C583" s="53" t="n"/>
    </row>
    <row r="584">
      <c r="A584" s="53" t="n"/>
      <c r="B584" s="53" t="n"/>
      <c r="C584" s="53" t="n"/>
    </row>
    <row r="585">
      <c r="A585" s="53" t="n"/>
      <c r="B585" s="53" t="n"/>
      <c r="C585" s="53" t="n"/>
    </row>
    <row r="586">
      <c r="A586" s="53" t="n"/>
      <c r="B586" s="53" t="n"/>
      <c r="C586" s="53" t="n"/>
    </row>
    <row r="587">
      <c r="A587" s="53" t="n"/>
      <c r="B587" s="53" t="n"/>
      <c r="C587" s="53" t="n"/>
    </row>
    <row r="588">
      <c r="A588" s="53" t="n"/>
      <c r="B588" s="53" t="n"/>
      <c r="C588" s="53" t="n"/>
    </row>
    <row r="589">
      <c r="A589" s="53" t="n"/>
      <c r="B589" s="53" t="n"/>
      <c r="C589" s="53" t="n"/>
    </row>
    <row r="590">
      <c r="A590" s="53" t="n"/>
      <c r="B590" s="53" t="n"/>
      <c r="C590" s="53" t="n"/>
    </row>
    <row r="591">
      <c r="A591" s="53" t="n"/>
      <c r="B591" s="53" t="n"/>
      <c r="C591" s="53" t="n"/>
    </row>
    <row r="592">
      <c r="A592" s="53" t="n"/>
      <c r="B592" s="53" t="n"/>
      <c r="C592" s="53" t="n"/>
    </row>
    <row r="593">
      <c r="A593" s="53" t="n"/>
      <c r="B593" s="53" t="n"/>
      <c r="C593" s="53" t="n"/>
    </row>
    <row r="594">
      <c r="A594" s="53" t="n"/>
      <c r="B594" s="53" t="n"/>
      <c r="C594" s="53" t="n"/>
    </row>
    <row r="595">
      <c r="A595" s="53" t="n"/>
      <c r="B595" s="53" t="n"/>
      <c r="C595" s="53" t="n"/>
    </row>
    <row r="596">
      <c r="A596" s="53" t="n"/>
      <c r="B596" s="53" t="n"/>
      <c r="C596" s="53" t="n"/>
    </row>
    <row r="597">
      <c r="A597" s="53" t="n"/>
      <c r="B597" s="53" t="n"/>
      <c r="C597" s="53" t="n"/>
    </row>
    <row r="598">
      <c r="A598" s="53" t="n"/>
      <c r="B598" s="53" t="n"/>
      <c r="C598" s="53" t="n"/>
    </row>
    <row r="599">
      <c r="A599" s="53" t="n"/>
      <c r="B599" s="53" t="n"/>
      <c r="C599" s="53" t="n"/>
    </row>
    <row r="600">
      <c r="A600" s="53" t="n"/>
      <c r="B600" s="53" t="n"/>
      <c r="C600" s="53" t="n"/>
    </row>
    <row r="601">
      <c r="A601" s="53" t="n"/>
      <c r="B601" s="53" t="n"/>
      <c r="C601" s="53" t="n"/>
    </row>
    <row r="602">
      <c r="A602" s="53" t="n"/>
      <c r="B602" s="53" t="n"/>
      <c r="C602" s="53" t="n"/>
    </row>
    <row r="603">
      <c r="A603" s="53" t="n"/>
      <c r="B603" s="53" t="n"/>
      <c r="C603" s="53" t="n"/>
    </row>
    <row r="604">
      <c r="A604" s="53" t="n"/>
      <c r="B604" s="53" t="n"/>
      <c r="C604" s="53" t="n"/>
    </row>
    <row r="605">
      <c r="A605" s="53" t="n"/>
      <c r="B605" s="53" t="n"/>
      <c r="C605" s="53" t="n"/>
    </row>
    <row r="606">
      <c r="A606" s="53" t="n"/>
      <c r="B606" s="53" t="n"/>
      <c r="C606" s="53" t="n"/>
    </row>
    <row r="607">
      <c r="A607" s="53" t="n"/>
      <c r="B607" s="53" t="n"/>
      <c r="C607" s="53" t="n"/>
    </row>
    <row r="608">
      <c r="A608" s="53" t="n"/>
      <c r="B608" s="53" t="n"/>
      <c r="C608" s="53" t="n"/>
    </row>
    <row r="609">
      <c r="A609" s="53" t="n"/>
      <c r="B609" s="53" t="n"/>
      <c r="C609" s="53" t="n"/>
    </row>
    <row r="610">
      <c r="A610" s="53" t="n"/>
      <c r="B610" s="53" t="n"/>
      <c r="C610" s="53" t="n"/>
    </row>
    <row r="611">
      <c r="A611" s="53" t="n"/>
      <c r="B611" s="53" t="n"/>
      <c r="C611" s="53" t="n"/>
    </row>
    <row r="612">
      <c r="A612" s="53" t="n"/>
      <c r="B612" s="53" t="n"/>
      <c r="C612" s="53" t="n"/>
    </row>
    <row r="613">
      <c r="A613" s="53" t="n"/>
      <c r="B613" s="53" t="n"/>
      <c r="C613" s="53" t="n"/>
    </row>
    <row r="614">
      <c r="A614" s="53" t="n"/>
      <c r="B614" s="53" t="n"/>
      <c r="C614" s="53" t="n"/>
    </row>
    <row r="615">
      <c r="A615" s="53" t="n"/>
      <c r="B615" s="53" t="n"/>
      <c r="C615" s="53" t="n"/>
    </row>
    <row r="616">
      <c r="A616" s="53" t="n"/>
      <c r="B616" s="53" t="n"/>
      <c r="C616" s="53" t="n"/>
    </row>
    <row r="617">
      <c r="A617" s="53" t="n"/>
      <c r="B617" s="53" t="n"/>
      <c r="C617" s="53" t="n"/>
    </row>
    <row r="618">
      <c r="A618" s="53" t="n"/>
      <c r="B618" s="53" t="n"/>
      <c r="C618" s="53" t="n"/>
    </row>
    <row r="619">
      <c r="A619" s="53" t="n"/>
      <c r="B619" s="53" t="n"/>
      <c r="C619" s="53" t="n"/>
    </row>
    <row r="620">
      <c r="A620" s="53" t="n"/>
      <c r="B620" s="53" t="n"/>
      <c r="C620" s="53" t="n"/>
    </row>
    <row r="621">
      <c r="A621" s="53" t="n"/>
      <c r="B621" s="53" t="n"/>
      <c r="C621" s="53" t="n"/>
    </row>
    <row r="622">
      <c r="A622" s="53" t="n"/>
      <c r="B622" s="53" t="n"/>
      <c r="C622" s="53" t="n"/>
    </row>
    <row r="623">
      <c r="A623" s="53" t="n"/>
      <c r="B623" s="53" t="n"/>
      <c r="C623" s="53" t="n"/>
    </row>
    <row r="624">
      <c r="A624" s="53" t="n"/>
      <c r="B624" s="53" t="n"/>
      <c r="C624" s="53" t="n"/>
    </row>
    <row r="625">
      <c r="A625" s="53" t="n"/>
      <c r="B625" s="53" t="n"/>
      <c r="C625" s="53" t="n"/>
    </row>
    <row r="626">
      <c r="A626" s="53" t="n"/>
      <c r="B626" s="53" t="n"/>
      <c r="C626" s="53" t="n"/>
    </row>
    <row r="627">
      <c r="A627" s="53" t="n"/>
      <c r="B627" s="53" t="n"/>
      <c r="C627" s="53" t="n"/>
    </row>
    <row r="628">
      <c r="A628" s="53" t="n"/>
      <c r="B628" s="53" t="n"/>
      <c r="C628" s="53" t="n"/>
    </row>
    <row r="629">
      <c r="A629" s="53" t="n"/>
      <c r="B629" s="53" t="n"/>
      <c r="C629" s="53" t="n"/>
    </row>
    <row r="630">
      <c r="A630" s="53" t="n"/>
      <c r="B630" s="53" t="n"/>
      <c r="C630" s="53" t="n"/>
    </row>
    <row r="631">
      <c r="A631" s="53" t="n"/>
      <c r="B631" s="53" t="n"/>
      <c r="C631" s="53" t="n"/>
    </row>
    <row r="632">
      <c r="A632" s="53" t="n"/>
      <c r="B632" s="53" t="n"/>
      <c r="C632" s="53" t="n"/>
    </row>
    <row r="633">
      <c r="A633" s="53" t="n"/>
      <c r="B633" s="53" t="n"/>
      <c r="C633" s="53" t="n"/>
    </row>
    <row r="634">
      <c r="A634" s="53" t="n"/>
      <c r="B634" s="53" t="n"/>
      <c r="C634" s="53" t="n"/>
    </row>
    <row r="635">
      <c r="A635" s="53" t="n"/>
      <c r="B635" s="53" t="n"/>
      <c r="C635" s="53" t="n"/>
    </row>
    <row r="636">
      <c r="A636" s="53" t="n"/>
      <c r="B636" s="53" t="n"/>
      <c r="C636" s="53" t="n"/>
    </row>
    <row r="637">
      <c r="A637" s="53" t="n"/>
      <c r="B637" s="53" t="n"/>
      <c r="C637" s="53" t="n"/>
    </row>
    <row r="638">
      <c r="A638" s="53" t="n"/>
      <c r="B638" s="53" t="n"/>
      <c r="C638" s="53" t="n"/>
    </row>
    <row r="639">
      <c r="A639" s="53" t="n"/>
      <c r="B639" s="53" t="n"/>
      <c r="C639" s="53" t="n"/>
    </row>
    <row r="640">
      <c r="A640" s="53" t="n"/>
      <c r="B640" s="53" t="n"/>
      <c r="C640" s="53" t="n"/>
    </row>
    <row r="641">
      <c r="A641" s="53" t="n"/>
      <c r="B641" s="53" t="n"/>
      <c r="C641" s="53" t="n"/>
    </row>
    <row r="642">
      <c r="A642" s="53" t="n"/>
      <c r="B642" s="53" t="n"/>
      <c r="C642" s="53" t="n"/>
    </row>
    <row r="643">
      <c r="A643" s="53" t="n"/>
      <c r="B643" s="53" t="n"/>
      <c r="C643" s="53" t="n"/>
    </row>
    <row r="644">
      <c r="A644" s="53" t="n"/>
      <c r="B644" s="53" t="n"/>
      <c r="C644" s="53" t="n"/>
    </row>
    <row r="645">
      <c r="A645" s="53" t="n"/>
      <c r="B645" s="53" t="n"/>
      <c r="C645" s="53" t="n"/>
    </row>
    <row r="646">
      <c r="A646" s="53" t="n"/>
      <c r="B646" s="53" t="n"/>
      <c r="C646" s="53" t="n"/>
    </row>
    <row r="647">
      <c r="A647" s="53" t="n"/>
      <c r="B647" s="53" t="n"/>
      <c r="C647" s="53" t="n"/>
    </row>
    <row r="648">
      <c r="A648" s="53" t="n"/>
      <c r="B648" s="53" t="n"/>
      <c r="C648" s="53" t="n"/>
    </row>
    <row r="649">
      <c r="A649" s="53" t="n"/>
      <c r="B649" s="53" t="n"/>
      <c r="C649" s="53" t="n"/>
    </row>
    <row r="650">
      <c r="A650" s="53" t="n"/>
      <c r="B650" s="53" t="n"/>
      <c r="C650" s="53" t="n"/>
    </row>
    <row r="651">
      <c r="A651" s="53" t="n"/>
      <c r="B651" s="53" t="n"/>
      <c r="C651" s="53" t="n"/>
    </row>
    <row r="652">
      <c r="A652" s="53" t="n"/>
      <c r="B652" s="53" t="n"/>
      <c r="C652" s="53" t="n"/>
    </row>
    <row r="653">
      <c r="A653" s="53" t="n"/>
      <c r="B653" s="53" t="n"/>
      <c r="C653" s="53" t="n"/>
    </row>
    <row r="654">
      <c r="A654" s="53" t="n"/>
      <c r="B654" s="53" t="n"/>
      <c r="C654" s="53" t="n"/>
    </row>
    <row r="655">
      <c r="A655" s="53" t="n"/>
      <c r="B655" s="53" t="n"/>
      <c r="C655" s="53" t="n"/>
    </row>
    <row r="656">
      <c r="A656" s="53" t="n"/>
      <c r="B656" s="53" t="n"/>
      <c r="C656" s="53" t="n"/>
    </row>
    <row r="657">
      <c r="A657" s="53" t="n"/>
      <c r="B657" s="53" t="n"/>
      <c r="C657" s="53" t="n"/>
    </row>
    <row r="658">
      <c r="A658" s="53" t="n"/>
      <c r="B658" s="53" t="n"/>
      <c r="C658" s="53" t="n"/>
    </row>
    <row r="659">
      <c r="A659" s="53" t="n"/>
      <c r="B659" s="53" t="n"/>
      <c r="C659" s="53" t="n"/>
    </row>
    <row r="660">
      <c r="A660" s="53" t="n"/>
      <c r="B660" s="53" t="n"/>
      <c r="C660" s="53" t="n"/>
    </row>
    <row r="661">
      <c r="A661" s="53" t="n"/>
      <c r="B661" s="53" t="n"/>
      <c r="C661" s="53" t="n"/>
    </row>
    <row r="662">
      <c r="A662" s="53" t="n"/>
      <c r="B662" s="53" t="n"/>
      <c r="C662" s="53" t="n"/>
    </row>
    <row r="663">
      <c r="A663" s="53" t="n"/>
      <c r="B663" s="53" t="n"/>
      <c r="C663" s="53" t="n"/>
    </row>
    <row r="664">
      <c r="A664" s="53" t="n"/>
      <c r="B664" s="53" t="n"/>
      <c r="C664" s="53" t="n"/>
    </row>
    <row r="665">
      <c r="A665" s="53" t="n"/>
      <c r="B665" s="53" t="n"/>
      <c r="C665" s="53" t="n"/>
    </row>
    <row r="666">
      <c r="A666" s="53" t="n"/>
      <c r="B666" s="53" t="n"/>
      <c r="C666" s="53" t="n"/>
    </row>
    <row r="667">
      <c r="A667" s="53" t="n"/>
      <c r="B667" s="53" t="n"/>
      <c r="C667" s="53" t="n"/>
    </row>
    <row r="668">
      <c r="A668" s="53" t="n"/>
      <c r="B668" s="53" t="n"/>
      <c r="C668" s="53" t="n"/>
    </row>
    <row r="669">
      <c r="A669" s="53" t="n"/>
      <c r="B669" s="53" t="n"/>
      <c r="C669" s="53" t="n"/>
    </row>
    <row r="670">
      <c r="A670" s="53" t="n"/>
      <c r="B670" s="53" t="n"/>
      <c r="C670" s="53" t="n"/>
    </row>
    <row r="671">
      <c r="A671" s="53" t="n"/>
      <c r="B671" s="53" t="n"/>
      <c r="C671" s="53" t="n"/>
    </row>
    <row r="672">
      <c r="A672" s="53" t="n"/>
      <c r="B672" s="53" t="n"/>
      <c r="C672" s="53" t="n"/>
    </row>
    <row r="673">
      <c r="A673" s="53" t="n"/>
      <c r="B673" s="53" t="n"/>
      <c r="C673" s="53" t="n"/>
    </row>
    <row r="674">
      <c r="A674" s="53" t="n"/>
      <c r="B674" s="53" t="n"/>
      <c r="C674" s="53" t="n"/>
    </row>
    <row r="675">
      <c r="A675" s="53" t="n"/>
      <c r="B675" s="53" t="n"/>
      <c r="C675" s="53" t="n"/>
    </row>
    <row r="676">
      <c r="A676" s="53" t="n"/>
      <c r="B676" s="53" t="n"/>
      <c r="C676" s="53" t="n"/>
    </row>
    <row r="677">
      <c r="A677" s="53" t="n"/>
      <c r="B677" s="53" t="n"/>
      <c r="C677" s="53" t="n"/>
    </row>
    <row r="678">
      <c r="A678" s="53" t="n"/>
      <c r="B678" s="53" t="n"/>
      <c r="C678" s="53" t="n"/>
    </row>
    <row r="679">
      <c r="A679" s="53" t="n"/>
      <c r="B679" s="53" t="n"/>
      <c r="C679" s="53" t="n"/>
    </row>
    <row r="680">
      <c r="A680" s="53" t="n"/>
      <c r="B680" s="53" t="n"/>
      <c r="C680" s="53" t="n"/>
    </row>
    <row r="681">
      <c r="A681" s="53" t="n"/>
      <c r="B681" s="53" t="n"/>
      <c r="C681" s="53" t="n"/>
    </row>
    <row r="682">
      <c r="A682" s="53" t="n"/>
      <c r="B682" s="53" t="n"/>
      <c r="C682" s="53" t="n"/>
    </row>
    <row r="683">
      <c r="A683" s="53" t="n"/>
      <c r="B683" s="53" t="n"/>
      <c r="C683" s="53" t="n"/>
    </row>
    <row r="684">
      <c r="A684" s="53" t="n"/>
      <c r="B684" s="53" t="n"/>
      <c r="C684" s="53" t="n"/>
    </row>
    <row r="685">
      <c r="A685" s="53" t="n"/>
      <c r="B685" s="53" t="n"/>
      <c r="C685" s="53" t="n"/>
    </row>
    <row r="686">
      <c r="A686" s="53" t="n"/>
      <c r="B686" s="53" t="n"/>
      <c r="C686" s="53" t="n"/>
    </row>
    <row r="687">
      <c r="A687" s="53" t="n"/>
      <c r="B687" s="53" t="n"/>
      <c r="C687" s="53" t="n"/>
    </row>
    <row r="688">
      <c r="A688" s="53" t="n"/>
      <c r="B688" s="53" t="n"/>
      <c r="C688" s="53" t="n"/>
    </row>
    <row r="689">
      <c r="A689" s="53" t="n"/>
      <c r="B689" s="53" t="n"/>
      <c r="C689" s="53" t="n"/>
    </row>
    <row r="690">
      <c r="A690" s="53" t="n"/>
      <c r="B690" s="53" t="n"/>
      <c r="C690" s="53" t="n"/>
    </row>
    <row r="691">
      <c r="A691" s="53" t="n"/>
      <c r="B691" s="53" t="n"/>
      <c r="C691" s="53" t="n"/>
    </row>
    <row r="692">
      <c r="A692" s="53" t="n"/>
      <c r="B692" s="53" t="n"/>
      <c r="C692" s="53" t="n"/>
    </row>
    <row r="693">
      <c r="A693" s="53" t="n"/>
      <c r="B693" s="53" t="n"/>
      <c r="C693" s="53" t="n"/>
    </row>
    <row r="694">
      <c r="A694" s="53" t="n"/>
      <c r="B694" s="53" t="n"/>
      <c r="C694" s="53" t="n"/>
    </row>
    <row r="695">
      <c r="A695" s="53" t="n"/>
      <c r="B695" s="53" t="n"/>
      <c r="C695" s="53" t="n"/>
    </row>
    <row r="696">
      <c r="A696" s="53" t="n"/>
      <c r="B696" s="53" t="n"/>
      <c r="C696" s="53" t="n"/>
    </row>
    <row r="697">
      <c r="A697" s="53" t="n"/>
      <c r="B697" s="53" t="n"/>
      <c r="C697" s="53" t="n"/>
    </row>
    <row r="698">
      <c r="A698" s="53" t="n"/>
      <c r="B698" s="53" t="n"/>
      <c r="C698" s="53" t="n"/>
    </row>
    <row r="699">
      <c r="A699" s="53" t="n"/>
      <c r="B699" s="53" t="n"/>
      <c r="C699" s="53" t="n"/>
    </row>
    <row r="700">
      <c r="A700" s="53" t="n"/>
      <c r="B700" s="53" t="n"/>
      <c r="C700" s="53" t="n"/>
    </row>
    <row r="701">
      <c r="A701" s="53" t="n"/>
      <c r="B701" s="53" t="n"/>
      <c r="C701" s="53" t="n"/>
    </row>
    <row r="702">
      <c r="A702" s="53" t="n"/>
      <c r="B702" s="53" t="n"/>
      <c r="C702" s="53" t="n"/>
    </row>
    <row r="703">
      <c r="A703" s="53" t="n"/>
      <c r="B703" s="53" t="n"/>
      <c r="C703" s="53" t="n"/>
    </row>
    <row r="704">
      <c r="A704" s="53" t="n"/>
      <c r="B704" s="53" t="n"/>
      <c r="C704" s="53" t="n"/>
    </row>
    <row r="705">
      <c r="A705" s="53" t="n"/>
      <c r="B705" s="53" t="n"/>
      <c r="C705" s="53" t="n"/>
    </row>
    <row r="706">
      <c r="A706" s="53" t="n"/>
      <c r="B706" s="53" t="n"/>
      <c r="C706" s="53" t="n"/>
    </row>
    <row r="707">
      <c r="A707" s="53" t="n"/>
      <c r="B707" s="53" t="n"/>
      <c r="C707" s="53" t="n"/>
    </row>
    <row r="708">
      <c r="A708" s="53" t="n"/>
      <c r="B708" s="53" t="n"/>
      <c r="C708" s="53" t="n"/>
    </row>
    <row r="709">
      <c r="A709" s="53" t="n"/>
      <c r="B709" s="53" t="n"/>
      <c r="C709" s="53" t="n"/>
    </row>
    <row r="710">
      <c r="A710" s="53" t="n"/>
      <c r="B710" s="53" t="n"/>
      <c r="C710" s="53" t="n"/>
    </row>
    <row r="711">
      <c r="A711" s="53" t="n"/>
      <c r="B711" s="53" t="n"/>
      <c r="C711" s="53" t="n"/>
    </row>
    <row r="712">
      <c r="A712" s="53" t="n"/>
      <c r="B712" s="53" t="n"/>
      <c r="C712" s="53" t="n"/>
    </row>
    <row r="713">
      <c r="A713" s="53" t="n"/>
      <c r="B713" s="53" t="n"/>
      <c r="C713" s="53" t="n"/>
    </row>
    <row r="714">
      <c r="A714" s="53" t="n"/>
      <c r="B714" s="53" t="n"/>
      <c r="C714" s="53" t="n"/>
    </row>
    <row r="715">
      <c r="A715" s="53" t="n"/>
      <c r="B715" s="53" t="n"/>
      <c r="C715" s="53" t="n"/>
    </row>
    <row r="716">
      <c r="A716" s="53" t="n"/>
      <c r="B716" s="53" t="n"/>
      <c r="C716" s="53" t="n"/>
    </row>
    <row r="717">
      <c r="A717" s="53" t="n"/>
      <c r="B717" s="53" t="n"/>
      <c r="C717" s="53" t="n"/>
    </row>
    <row r="718">
      <c r="A718" s="53" t="n"/>
      <c r="B718" s="53" t="n"/>
      <c r="C718" s="53" t="n"/>
    </row>
    <row r="719">
      <c r="A719" s="53" t="n"/>
      <c r="B719" s="53" t="n"/>
      <c r="C719" s="53" t="n"/>
    </row>
    <row r="720">
      <c r="A720" s="53" t="n"/>
      <c r="B720" s="53" t="n"/>
      <c r="C720" s="53" t="n"/>
    </row>
    <row r="721">
      <c r="A721" s="53" t="n"/>
      <c r="B721" s="53" t="n"/>
      <c r="C721" s="53" t="n"/>
    </row>
    <row r="722">
      <c r="A722" s="53" t="n"/>
      <c r="B722" s="53" t="n"/>
      <c r="C722" s="53" t="n"/>
    </row>
    <row r="723">
      <c r="A723" s="53" t="n"/>
      <c r="B723" s="53" t="n"/>
      <c r="C723" s="53" t="n"/>
    </row>
    <row r="724">
      <c r="A724" s="53" t="n"/>
      <c r="B724" s="53" t="n"/>
      <c r="C724" s="53" t="n"/>
    </row>
    <row r="725">
      <c r="A725" s="53" t="n"/>
      <c r="B725" s="53" t="n"/>
      <c r="C725" s="53" t="n"/>
    </row>
    <row r="726">
      <c r="A726" s="53" t="n"/>
      <c r="B726" s="53" t="n"/>
      <c r="C726" s="53" t="n"/>
    </row>
    <row r="727">
      <c r="A727" s="53" t="n"/>
      <c r="B727" s="53" t="n"/>
      <c r="C727" s="53" t="n"/>
    </row>
    <row r="728">
      <c r="A728" s="53" t="n"/>
      <c r="B728" s="53" t="n"/>
      <c r="C728" s="53" t="n"/>
    </row>
    <row r="729">
      <c r="A729" s="53" t="n"/>
      <c r="B729" s="53" t="n"/>
      <c r="C729" s="53" t="n"/>
    </row>
    <row r="730">
      <c r="A730" s="53" t="n"/>
      <c r="B730" s="53" t="n"/>
      <c r="C730" s="53" t="n"/>
    </row>
    <row r="731">
      <c r="A731" s="53" t="n"/>
      <c r="B731" s="53" t="n"/>
      <c r="C731" s="53" t="n"/>
    </row>
    <row r="732">
      <c r="A732" s="53" t="n"/>
      <c r="B732" s="53" t="n"/>
      <c r="C732" s="53" t="n"/>
    </row>
    <row r="733">
      <c r="A733" s="53" t="n"/>
      <c r="B733" s="53" t="n"/>
      <c r="C733" s="53" t="n"/>
    </row>
    <row r="734">
      <c r="A734" s="53" t="n"/>
      <c r="B734" s="53" t="n"/>
      <c r="C734" s="53" t="n"/>
    </row>
    <row r="735">
      <c r="A735" s="53" t="n"/>
      <c r="B735" s="53" t="n"/>
      <c r="C735" s="53" t="n"/>
    </row>
    <row r="736">
      <c r="A736" s="53" t="n"/>
      <c r="B736" s="53" t="n"/>
      <c r="C736" s="53" t="n"/>
    </row>
    <row r="737">
      <c r="A737" s="53" t="n"/>
      <c r="B737" s="53" t="n"/>
      <c r="C737" s="53" t="n"/>
    </row>
    <row r="738">
      <c r="A738" s="53" t="n"/>
      <c r="B738" s="53" t="n"/>
      <c r="C738" s="53" t="n"/>
    </row>
    <row r="739">
      <c r="A739" s="53" t="n"/>
      <c r="B739" s="53" t="n"/>
      <c r="C739" s="53" t="n"/>
    </row>
    <row r="740">
      <c r="A740" s="53" t="n"/>
      <c r="B740" s="53" t="n"/>
      <c r="C740" s="53" t="n"/>
    </row>
    <row r="741">
      <c r="A741" s="53" t="n"/>
      <c r="B741" s="53" t="n"/>
      <c r="C741" s="53" t="n"/>
    </row>
    <row r="742">
      <c r="A742" s="53" t="n"/>
      <c r="B742" s="53" t="n"/>
      <c r="C742" s="53" t="n"/>
    </row>
    <row r="743">
      <c r="A743" s="53" t="n"/>
      <c r="B743" s="53" t="n"/>
      <c r="C743" s="53" t="n"/>
    </row>
    <row r="744">
      <c r="A744" s="53" t="n"/>
      <c r="B744" s="53" t="n"/>
      <c r="C744" s="53" t="n"/>
    </row>
    <row r="745">
      <c r="A745" s="53" t="n"/>
      <c r="B745" s="53" t="n"/>
      <c r="C745" s="53" t="n"/>
    </row>
    <row r="746">
      <c r="A746" s="53" t="n"/>
      <c r="B746" s="53" t="n"/>
      <c r="C746" s="53" t="n"/>
    </row>
    <row r="747">
      <c r="A747" s="53" t="n"/>
      <c r="B747" s="53" t="n"/>
      <c r="C747" s="53" t="n"/>
    </row>
    <row r="748">
      <c r="A748" s="53" t="n"/>
      <c r="B748" s="53" t="n"/>
      <c r="C748" s="53" t="n"/>
    </row>
    <row r="749">
      <c r="A749" s="53" t="n"/>
      <c r="B749" s="53" t="n"/>
      <c r="C749" s="53" t="n"/>
    </row>
    <row r="750">
      <c r="A750" s="53" t="n"/>
      <c r="B750" s="53" t="n"/>
      <c r="C750" s="53" t="n"/>
    </row>
    <row r="751">
      <c r="A751" s="53" t="n"/>
      <c r="B751" s="53" t="n"/>
      <c r="C751" s="53" t="n"/>
    </row>
    <row r="752">
      <c r="A752" s="53" t="n"/>
      <c r="B752" s="53" t="n"/>
      <c r="C752" s="53" t="n"/>
    </row>
    <row r="753">
      <c r="A753" s="53" t="n"/>
      <c r="B753" s="53" t="n"/>
      <c r="C753" s="53" t="n"/>
    </row>
    <row r="754">
      <c r="A754" s="53" t="n"/>
      <c r="B754" s="53" t="n"/>
      <c r="C754" s="53" t="n"/>
    </row>
    <row r="755">
      <c r="A755" s="53" t="n"/>
      <c r="B755" s="53" t="n"/>
      <c r="C755" s="53" t="n"/>
    </row>
    <row r="756">
      <c r="A756" s="53" t="n"/>
      <c r="B756" s="53" t="n"/>
      <c r="C756" s="53" t="n"/>
    </row>
    <row r="757">
      <c r="A757" s="53" t="n"/>
      <c r="B757" s="53" t="n"/>
      <c r="C757" s="53" t="n"/>
    </row>
    <row r="758">
      <c r="A758" s="53" t="n"/>
      <c r="B758" s="53" t="n"/>
      <c r="C758" s="53" t="n"/>
    </row>
    <row r="759">
      <c r="A759" s="53" t="n"/>
      <c r="B759" s="53" t="n"/>
      <c r="C759" s="53" t="n"/>
    </row>
    <row r="760">
      <c r="A760" s="53" t="n"/>
      <c r="B760" s="53" t="n"/>
      <c r="C760" s="53" t="n"/>
    </row>
    <row r="761">
      <c r="A761" s="53" t="n"/>
      <c r="B761" s="53" t="n"/>
      <c r="C761" s="53" t="n"/>
    </row>
    <row r="762">
      <c r="A762" s="53" t="n"/>
      <c r="B762" s="53" t="n"/>
      <c r="C762" s="53" t="n"/>
    </row>
    <row r="763">
      <c r="A763" s="53" t="n"/>
      <c r="B763" s="53" t="n"/>
      <c r="C763" s="53" t="n"/>
    </row>
    <row r="764">
      <c r="A764" s="53" t="n"/>
      <c r="B764" s="53" t="n"/>
      <c r="C764" s="53" t="n"/>
    </row>
    <row r="765">
      <c r="A765" s="53" t="n"/>
      <c r="B765" s="53" t="n"/>
      <c r="C765" s="53" t="n"/>
    </row>
    <row r="766">
      <c r="A766" s="53" t="n"/>
      <c r="B766" s="53" t="n"/>
      <c r="C766" s="53" t="n"/>
    </row>
    <row r="767">
      <c r="A767" s="53" t="n"/>
      <c r="B767" s="53" t="n"/>
      <c r="C767" s="53" t="n"/>
    </row>
    <row r="768">
      <c r="A768" s="53" t="n"/>
      <c r="B768" s="53" t="n"/>
      <c r="C768" s="53" t="n"/>
    </row>
    <row r="769">
      <c r="A769" s="53" t="n"/>
      <c r="B769" s="53" t="n"/>
      <c r="C769" s="53" t="n"/>
    </row>
    <row r="770">
      <c r="A770" s="53" t="n"/>
      <c r="B770" s="53" t="n"/>
      <c r="C770" s="53" t="n"/>
    </row>
    <row r="771">
      <c r="A771" s="53" t="n"/>
      <c r="B771" s="53" t="n"/>
      <c r="C771" s="53" t="n"/>
    </row>
    <row r="772">
      <c r="A772" s="53" t="n"/>
      <c r="B772" s="53" t="n"/>
      <c r="C772" s="53" t="n"/>
    </row>
    <row r="773">
      <c r="A773" s="53" t="n"/>
      <c r="B773" s="53" t="n"/>
      <c r="C773" s="53" t="n"/>
    </row>
    <row r="774">
      <c r="A774" s="53" t="n"/>
      <c r="B774" s="53" t="n"/>
      <c r="C774" s="53" t="n"/>
    </row>
    <row r="775">
      <c r="A775" s="53" t="n"/>
      <c r="B775" s="53" t="n"/>
      <c r="C775" s="53" t="n"/>
    </row>
    <row r="776">
      <c r="A776" s="53" t="n"/>
      <c r="B776" s="53" t="n"/>
      <c r="C776" s="53" t="n"/>
    </row>
    <row r="777">
      <c r="A777" s="53" t="n"/>
      <c r="B777" s="53" t="n"/>
      <c r="C777" s="53" t="n"/>
    </row>
    <row r="778">
      <c r="A778" s="53" t="n"/>
      <c r="B778" s="53" t="n"/>
      <c r="C778" s="53" t="n"/>
    </row>
    <row r="779">
      <c r="A779" s="53" t="n"/>
      <c r="B779" s="53" t="n"/>
      <c r="C779" s="53" t="n"/>
    </row>
    <row r="780">
      <c r="A780" s="53" t="n"/>
      <c r="B780" s="53" t="n"/>
      <c r="C780" s="53" t="n"/>
    </row>
    <row r="781">
      <c r="A781" s="53" t="n"/>
      <c r="B781" s="53" t="n"/>
      <c r="C781" s="53" t="n"/>
    </row>
    <row r="782">
      <c r="A782" s="53" t="n"/>
      <c r="B782" s="53" t="n"/>
      <c r="C782" s="53" t="n"/>
    </row>
    <row r="783">
      <c r="A783" s="53" t="n"/>
      <c r="B783" s="53" t="n"/>
      <c r="C783" s="53" t="n"/>
    </row>
    <row r="784">
      <c r="A784" s="53" t="n"/>
      <c r="B784" s="53" t="n"/>
      <c r="C784" s="53" t="n"/>
    </row>
    <row r="785">
      <c r="A785" s="53" t="n"/>
      <c r="B785" s="53" t="n"/>
      <c r="C785" s="53" t="n"/>
    </row>
    <row r="786">
      <c r="A786" s="53" t="n"/>
      <c r="B786" s="53" t="n"/>
      <c r="C786" s="53" t="n"/>
    </row>
    <row r="787">
      <c r="A787" s="53" t="n"/>
      <c r="B787" s="53" t="n"/>
      <c r="C787" s="53" t="n"/>
    </row>
    <row r="788">
      <c r="A788" s="53" t="n"/>
      <c r="B788" s="53" t="n"/>
      <c r="C788" s="53" t="n"/>
    </row>
    <row r="789">
      <c r="A789" s="53" t="n"/>
      <c r="B789" s="53" t="n"/>
      <c r="C789" s="53" t="n"/>
    </row>
    <row r="790">
      <c r="A790" s="53" t="n"/>
      <c r="B790" s="53" t="n"/>
      <c r="C790" s="53" t="n"/>
    </row>
    <row r="791">
      <c r="A791" s="53" t="n"/>
      <c r="B791" s="53" t="n"/>
      <c r="C791" s="53" t="n"/>
    </row>
    <row r="792">
      <c r="A792" s="53" t="n"/>
      <c r="B792" s="53" t="n"/>
      <c r="C792" s="53" t="n"/>
    </row>
    <row r="793">
      <c r="A793" s="53" t="n"/>
      <c r="B793" s="53" t="n"/>
      <c r="C793" s="53" t="n"/>
    </row>
    <row r="794">
      <c r="A794" s="53" t="n"/>
      <c r="B794" s="53" t="n"/>
      <c r="C794" s="53" t="n"/>
    </row>
    <row r="795">
      <c r="A795" s="53" t="n"/>
      <c r="B795" s="53" t="n"/>
      <c r="C795" s="53" t="n"/>
    </row>
    <row r="796">
      <c r="A796" s="53" t="n"/>
      <c r="B796" s="53" t="n"/>
      <c r="C796" s="53" t="n"/>
    </row>
    <row r="797">
      <c r="A797" s="53" t="n"/>
      <c r="B797" s="53" t="n"/>
      <c r="C797" s="53" t="n"/>
    </row>
    <row r="798">
      <c r="A798" s="53" t="n"/>
      <c r="B798" s="53" t="n"/>
      <c r="C798" s="53" t="n"/>
    </row>
    <row r="799">
      <c r="A799" s="53" t="n"/>
      <c r="B799" s="53" t="n"/>
      <c r="C799" s="53" t="n"/>
    </row>
    <row r="800">
      <c r="A800" s="53" t="n"/>
      <c r="B800" s="53" t="n"/>
      <c r="C800" s="53" t="n"/>
    </row>
    <row r="801">
      <c r="A801" s="53" t="n"/>
      <c r="B801" s="53" t="n"/>
      <c r="C801" s="53" t="n"/>
    </row>
    <row r="802">
      <c r="A802" s="53" t="n"/>
      <c r="B802" s="53" t="n"/>
      <c r="C802" s="53" t="n"/>
    </row>
    <row r="803">
      <c r="A803" s="53" t="n"/>
      <c r="B803" s="53" t="n"/>
      <c r="C803" s="53" t="n"/>
    </row>
    <row r="804">
      <c r="A804" s="53" t="n"/>
      <c r="B804" s="53" t="n"/>
      <c r="C804" s="53" t="n"/>
    </row>
    <row r="805">
      <c r="A805" s="53" t="n"/>
      <c r="B805" s="53" t="n"/>
      <c r="C805" s="53" t="n"/>
    </row>
    <row r="806">
      <c r="A806" s="53" t="n"/>
      <c r="B806" s="53" t="n"/>
      <c r="C806" s="53" t="n"/>
    </row>
    <row r="807">
      <c r="A807" s="53" t="n"/>
      <c r="B807" s="53" t="n"/>
      <c r="C807" s="53" t="n"/>
    </row>
    <row r="808">
      <c r="A808" s="53" t="n"/>
      <c r="B808" s="53" t="n"/>
      <c r="C808" s="53" t="n"/>
    </row>
    <row r="809">
      <c r="A809" s="53" t="n"/>
      <c r="B809" s="53" t="n"/>
      <c r="C809" s="53" t="n"/>
    </row>
    <row r="810">
      <c r="A810" s="53" t="n"/>
      <c r="B810" s="53" t="n"/>
      <c r="C810" s="53" t="n"/>
    </row>
    <row r="811">
      <c r="A811" s="53" t="n"/>
      <c r="B811" s="53" t="n"/>
      <c r="C811" s="53" t="n"/>
    </row>
    <row r="812">
      <c r="A812" s="53" t="n"/>
      <c r="B812" s="53" t="n"/>
      <c r="C812" s="53" t="n"/>
    </row>
    <row r="813">
      <c r="A813" s="53" t="n"/>
      <c r="B813" s="53" t="n"/>
      <c r="C813" s="53" t="n"/>
    </row>
    <row r="814">
      <c r="A814" s="53" t="n"/>
      <c r="B814" s="53" t="n"/>
      <c r="C814" s="53" t="n"/>
    </row>
    <row r="815">
      <c r="A815" s="53" t="n"/>
      <c r="B815" s="53" t="n"/>
      <c r="C815" s="53" t="n"/>
    </row>
    <row r="816">
      <c r="A816" s="53" t="n"/>
      <c r="B816" s="53" t="n"/>
      <c r="C816" s="53" t="n"/>
    </row>
    <row r="817">
      <c r="A817" s="53" t="n"/>
      <c r="B817" s="53" t="n"/>
      <c r="C817" s="53" t="n"/>
    </row>
    <row r="818">
      <c r="A818" s="53" t="n"/>
      <c r="B818" s="53" t="n"/>
      <c r="C818" s="53" t="n"/>
    </row>
    <row r="819">
      <c r="A819" s="53" t="n"/>
      <c r="B819" s="53" t="n"/>
      <c r="C819" s="53" t="n"/>
    </row>
    <row r="820">
      <c r="A820" s="53" t="n"/>
      <c r="B820" s="53" t="n"/>
      <c r="C820" s="53" t="n"/>
    </row>
    <row r="821">
      <c r="A821" s="53" t="n"/>
      <c r="B821" s="53" t="n"/>
      <c r="C821" s="53" t="n"/>
    </row>
    <row r="822">
      <c r="A822" s="53" t="n"/>
      <c r="B822" s="53" t="n"/>
      <c r="C822" s="53" t="n"/>
    </row>
    <row r="823">
      <c r="A823" s="53" t="n"/>
      <c r="B823" s="53" t="n"/>
      <c r="C823" s="53" t="n"/>
    </row>
    <row r="824">
      <c r="A824" s="53" t="n"/>
      <c r="B824" s="53" t="n"/>
      <c r="C824" s="53" t="n"/>
    </row>
    <row r="825">
      <c r="A825" s="53" t="n"/>
      <c r="B825" s="53" t="n"/>
      <c r="C825" s="53" t="n"/>
    </row>
    <row r="826">
      <c r="A826" s="53" t="n"/>
      <c r="B826" s="53" t="n"/>
      <c r="C826" s="53" t="n"/>
    </row>
    <row r="827">
      <c r="A827" s="53" t="n"/>
      <c r="B827" s="53" t="n"/>
      <c r="C827" s="53" t="n"/>
    </row>
    <row r="828">
      <c r="A828" s="53" t="n"/>
      <c r="B828" s="53" t="n"/>
      <c r="C828" s="53" t="n"/>
    </row>
    <row r="829">
      <c r="A829" s="53" t="n"/>
      <c r="B829" s="53" t="n"/>
      <c r="C829" s="53" t="n"/>
    </row>
    <row r="830">
      <c r="A830" s="53" t="n"/>
      <c r="B830" s="53" t="n"/>
      <c r="C830" s="53" t="n"/>
    </row>
    <row r="831">
      <c r="A831" s="53" t="n"/>
      <c r="B831" s="53" t="n"/>
      <c r="C831" s="53" t="n"/>
    </row>
    <row r="832">
      <c r="A832" s="53" t="n"/>
      <c r="B832" s="53" t="n"/>
      <c r="C832" s="53" t="n"/>
    </row>
    <row r="833">
      <c r="A833" s="53" t="n"/>
      <c r="B833" s="53" t="n"/>
      <c r="C833" s="53" t="n"/>
    </row>
    <row r="834">
      <c r="A834" s="53" t="n"/>
      <c r="B834" s="53" t="n"/>
      <c r="C834" s="53" t="n"/>
    </row>
    <row r="835">
      <c r="A835" s="53" t="n"/>
      <c r="B835" s="53" t="n"/>
      <c r="C835" s="53" t="n"/>
    </row>
    <row r="836">
      <c r="A836" s="53" t="n"/>
      <c r="B836" s="53" t="n"/>
      <c r="C836" s="53" t="n"/>
    </row>
    <row r="837">
      <c r="A837" s="53" t="n"/>
      <c r="B837" s="53" t="n"/>
      <c r="C837" s="53" t="n"/>
    </row>
    <row r="838">
      <c r="A838" s="53" t="n"/>
      <c r="B838" s="53" t="n"/>
      <c r="C838" s="53" t="n"/>
    </row>
    <row r="839">
      <c r="A839" s="53" t="n"/>
      <c r="B839" s="53" t="n"/>
      <c r="C839" s="53" t="n"/>
    </row>
    <row r="840">
      <c r="A840" s="53" t="n"/>
      <c r="B840" s="53" t="n"/>
      <c r="C840" s="53" t="n"/>
    </row>
    <row r="841">
      <c r="A841" s="53" t="n"/>
      <c r="B841" s="53" t="n"/>
      <c r="C841" s="53" t="n"/>
    </row>
    <row r="842">
      <c r="A842" s="53" t="n"/>
      <c r="B842" s="53" t="n"/>
      <c r="C842" s="53" t="n"/>
    </row>
    <row r="843">
      <c r="A843" s="53" t="n"/>
      <c r="B843" s="53" t="n"/>
      <c r="C843" s="53" t="n"/>
    </row>
    <row r="844">
      <c r="A844" s="53" t="n"/>
      <c r="B844" s="53" t="n"/>
      <c r="C844" s="53" t="n"/>
    </row>
    <row r="845">
      <c r="A845" s="53" t="n"/>
      <c r="B845" s="53" t="n"/>
      <c r="C845" s="53" t="n"/>
    </row>
    <row r="846">
      <c r="A846" s="53" t="n"/>
      <c r="B846" s="53" t="n"/>
      <c r="C846" s="53" t="n"/>
    </row>
    <row r="847">
      <c r="A847" s="53" t="n"/>
      <c r="B847" s="53" t="n"/>
      <c r="C847" s="53" t="n"/>
    </row>
    <row r="848">
      <c r="A848" s="53" t="n"/>
      <c r="B848" s="53" t="n"/>
      <c r="C848" s="53" t="n"/>
    </row>
    <row r="849">
      <c r="A849" s="53" t="n"/>
      <c r="B849" s="53" t="n"/>
      <c r="C849" s="53" t="n"/>
    </row>
    <row r="850">
      <c r="A850" s="53" t="n"/>
      <c r="B850" s="53" t="n"/>
      <c r="C850" s="53" t="n"/>
    </row>
    <row r="851">
      <c r="A851" s="53" t="n"/>
      <c r="B851" s="53" t="n"/>
      <c r="C851" s="53" t="n"/>
    </row>
    <row r="852">
      <c r="A852" s="53" t="n"/>
      <c r="B852" s="53" t="n"/>
      <c r="C852" s="53" t="n"/>
    </row>
    <row r="853">
      <c r="A853" s="53" t="n"/>
      <c r="B853" s="53" t="n"/>
      <c r="C853" s="53" t="n"/>
    </row>
    <row r="854">
      <c r="A854" s="53" t="n"/>
      <c r="B854" s="53" t="n"/>
      <c r="C854" s="53" t="n"/>
    </row>
    <row r="855">
      <c r="A855" s="53" t="n"/>
      <c r="B855" s="53" t="n"/>
      <c r="C855" s="53" t="n"/>
    </row>
    <row r="856">
      <c r="A856" s="53" t="n"/>
      <c r="B856" s="53" t="n"/>
      <c r="C856" s="53" t="n"/>
    </row>
    <row r="857">
      <c r="A857" s="53" t="n"/>
      <c r="B857" s="53" t="n"/>
      <c r="C857" s="53" t="n"/>
    </row>
    <row r="858">
      <c r="A858" s="53" t="n"/>
      <c r="B858" s="53" t="n"/>
      <c r="C858" s="53" t="n"/>
    </row>
    <row r="859">
      <c r="A859" s="53" t="n"/>
      <c r="B859" s="53" t="n"/>
      <c r="C859" s="53" t="n"/>
    </row>
    <row r="860">
      <c r="A860" s="53" t="n"/>
      <c r="B860" s="53" t="n"/>
      <c r="C860" s="53" t="n"/>
    </row>
    <row r="861">
      <c r="A861" s="53" t="n"/>
      <c r="B861" s="53" t="n"/>
      <c r="C861" s="53" t="n"/>
    </row>
    <row r="862">
      <c r="A862" s="53" t="n"/>
      <c r="B862" s="53" t="n"/>
      <c r="C862" s="53" t="n"/>
    </row>
    <row r="863">
      <c r="A863" s="53" t="n"/>
      <c r="B863" s="53" t="n"/>
      <c r="C863" s="53" t="n"/>
    </row>
    <row r="864">
      <c r="A864" s="53" t="n"/>
      <c r="B864" s="53" t="n"/>
      <c r="C864" s="53" t="n"/>
    </row>
    <row r="865">
      <c r="A865" s="53" t="n"/>
      <c r="B865" s="53" t="n"/>
      <c r="C865" s="53" t="n"/>
    </row>
    <row r="866">
      <c r="A866" s="53" t="n"/>
      <c r="B866" s="53" t="n"/>
      <c r="C866" s="53" t="n"/>
    </row>
    <row r="867">
      <c r="A867" s="53" t="n"/>
      <c r="B867" s="53" t="n"/>
      <c r="C867" s="53" t="n"/>
    </row>
    <row r="868">
      <c r="A868" s="53" t="n"/>
      <c r="B868" s="53" t="n"/>
      <c r="C868" s="53" t="n"/>
    </row>
    <row r="869">
      <c r="A869" s="53" t="n"/>
      <c r="B869" s="53" t="n"/>
      <c r="C869" s="53" t="n"/>
    </row>
    <row r="870">
      <c r="A870" s="53" t="n"/>
      <c r="B870" s="53" t="n"/>
      <c r="C870" s="53" t="n"/>
    </row>
    <row r="871">
      <c r="A871" s="53" t="n"/>
      <c r="B871" s="53" t="n"/>
      <c r="C871" s="53" t="n"/>
    </row>
    <row r="872">
      <c r="A872" s="53" t="n"/>
      <c r="B872" s="53" t="n"/>
      <c r="C872" s="53" t="n"/>
    </row>
    <row r="873">
      <c r="A873" s="53" t="n"/>
      <c r="B873" s="53" t="n"/>
      <c r="C873" s="53" t="n"/>
    </row>
    <row r="874">
      <c r="A874" s="53" t="n"/>
      <c r="B874" s="53" t="n"/>
      <c r="C874" s="53" t="n"/>
    </row>
    <row r="875">
      <c r="A875" s="53" t="n"/>
      <c r="B875" s="53" t="n"/>
      <c r="C875" s="53" t="n"/>
    </row>
    <row r="876">
      <c r="A876" s="53" t="n"/>
      <c r="B876" s="53" t="n"/>
      <c r="C876" s="53" t="n"/>
    </row>
    <row r="877">
      <c r="A877" s="53" t="n"/>
      <c r="B877" s="53" t="n"/>
      <c r="C877" s="53" t="n"/>
    </row>
    <row r="878">
      <c r="A878" s="53" t="n"/>
      <c r="B878" s="53" t="n"/>
      <c r="C878" s="53" t="n"/>
    </row>
    <row r="879">
      <c r="A879" s="53" t="n"/>
      <c r="B879" s="53" t="n"/>
      <c r="C879" s="53" t="n"/>
    </row>
    <row r="880">
      <c r="A880" s="53" t="n"/>
      <c r="B880" s="53" t="n"/>
      <c r="C880" s="53" t="n"/>
    </row>
    <row r="881">
      <c r="A881" s="53" t="n"/>
      <c r="B881" s="53" t="n"/>
      <c r="C881" s="53" t="n"/>
    </row>
    <row r="882">
      <c r="A882" s="53" t="n"/>
      <c r="B882" s="53" t="n"/>
      <c r="C882" s="53" t="n"/>
    </row>
    <row r="883">
      <c r="A883" s="53" t="n"/>
      <c r="B883" s="53" t="n"/>
      <c r="C883" s="53" t="n"/>
    </row>
    <row r="884">
      <c r="A884" s="53" t="n"/>
      <c r="B884" s="53" t="n"/>
      <c r="C884" s="53" t="n"/>
    </row>
    <row r="885">
      <c r="A885" s="53" t="n"/>
      <c r="B885" s="53" t="n"/>
      <c r="C885" s="53" t="n"/>
    </row>
    <row r="886">
      <c r="A886" s="53" t="n"/>
      <c r="B886" s="53" t="n"/>
      <c r="C886" s="53" t="n"/>
    </row>
    <row r="887">
      <c r="A887" s="53" t="n"/>
      <c r="B887" s="53" t="n"/>
      <c r="C887" s="53" t="n"/>
    </row>
    <row r="888">
      <c r="A888" s="53" t="n"/>
      <c r="B888" s="53" t="n"/>
      <c r="C888" s="53" t="n"/>
    </row>
    <row r="889">
      <c r="A889" s="53" t="n"/>
      <c r="B889" s="53" t="n"/>
      <c r="C889" s="53" t="n"/>
    </row>
    <row r="890">
      <c r="A890" s="53" t="n"/>
      <c r="B890" s="53" t="n"/>
      <c r="C890" s="53" t="n"/>
    </row>
    <row r="891">
      <c r="A891" s="53" t="n"/>
      <c r="B891" s="53" t="n"/>
      <c r="C891" s="53" t="n"/>
    </row>
    <row r="892">
      <c r="A892" s="53" t="n"/>
      <c r="B892" s="53" t="n"/>
      <c r="C892" s="53" t="n"/>
    </row>
    <row r="893">
      <c r="A893" s="53" t="n"/>
      <c r="B893" s="53" t="n"/>
      <c r="C893" s="53" t="n"/>
    </row>
    <row r="894">
      <c r="A894" s="53" t="n"/>
      <c r="B894" s="53" t="n"/>
      <c r="C894" s="53" t="n"/>
    </row>
    <row r="895">
      <c r="A895" s="53" t="n"/>
      <c r="B895" s="53" t="n"/>
      <c r="C895" s="53" t="n"/>
    </row>
    <row r="896">
      <c r="A896" s="53" t="n"/>
      <c r="B896" s="53" t="n"/>
      <c r="C896" s="53" t="n"/>
    </row>
    <row r="897">
      <c r="A897" s="53" t="n"/>
      <c r="B897" s="53" t="n"/>
      <c r="C897" s="53" t="n"/>
    </row>
    <row r="898">
      <c r="A898" s="53" t="n"/>
      <c r="B898" s="53" t="n"/>
      <c r="C898" s="53" t="n"/>
    </row>
    <row r="899">
      <c r="A899" s="53" t="n"/>
      <c r="B899" s="53" t="n"/>
      <c r="C899" s="53" t="n"/>
    </row>
    <row r="900">
      <c r="A900" s="53" t="n"/>
      <c r="B900" s="53" t="n"/>
      <c r="C900" s="53" t="n"/>
    </row>
    <row r="901">
      <c r="A901" s="53" t="n"/>
      <c r="B901" s="53" t="n"/>
      <c r="C901" s="53" t="n"/>
    </row>
    <row r="902">
      <c r="A902" s="53" t="n"/>
      <c r="B902" s="53" t="n"/>
      <c r="C902" s="53" t="n"/>
    </row>
    <row r="903">
      <c r="A903" s="53" t="n"/>
      <c r="B903" s="53" t="n"/>
      <c r="C903" s="53" t="n"/>
    </row>
    <row r="904">
      <c r="A904" s="53" t="n"/>
      <c r="B904" s="53" t="n"/>
      <c r="C904" s="53" t="n"/>
    </row>
    <row r="905">
      <c r="A905" s="53" t="n"/>
      <c r="B905" s="53" t="n"/>
      <c r="C905" s="53" t="n"/>
    </row>
    <row r="906">
      <c r="A906" s="53" t="n"/>
      <c r="B906" s="53" t="n"/>
      <c r="C906" s="53" t="n"/>
    </row>
    <row r="907">
      <c r="A907" s="53" t="n"/>
      <c r="B907" s="53" t="n"/>
      <c r="C907" s="53" t="n"/>
    </row>
    <row r="908">
      <c r="A908" s="53" t="n"/>
      <c r="B908" s="53" t="n"/>
      <c r="C908" s="53" t="n"/>
    </row>
    <row r="909">
      <c r="A909" s="53" t="n"/>
      <c r="B909" s="53" t="n"/>
      <c r="C909" s="53" t="n"/>
    </row>
    <row r="910">
      <c r="A910" s="53" t="n"/>
      <c r="B910" s="53" t="n"/>
      <c r="C910" s="53" t="n"/>
    </row>
    <row r="911">
      <c r="A911" s="53" t="n"/>
      <c r="B911" s="53" t="n"/>
      <c r="C911" s="53" t="n"/>
    </row>
    <row r="912">
      <c r="A912" s="53" t="n"/>
      <c r="B912" s="53" t="n"/>
      <c r="C912" s="53" t="n"/>
    </row>
    <row r="913">
      <c r="A913" s="53" t="n"/>
      <c r="B913" s="53" t="n"/>
      <c r="C913" s="53" t="n"/>
    </row>
    <row r="914">
      <c r="A914" s="53" t="n"/>
      <c r="B914" s="53" t="n"/>
      <c r="C914" s="53" t="n"/>
    </row>
    <row r="915">
      <c r="A915" s="53" t="n"/>
      <c r="B915" s="53" t="n"/>
      <c r="C915" s="53" t="n"/>
    </row>
    <row r="916">
      <c r="A916" s="53" t="n"/>
      <c r="B916" s="53" t="n"/>
      <c r="C916" s="53" t="n"/>
    </row>
    <row r="917">
      <c r="A917" s="53" t="n"/>
      <c r="B917" s="53" t="n"/>
      <c r="C917" s="53" t="n"/>
    </row>
    <row r="918">
      <c r="A918" s="53" t="n"/>
      <c r="B918" s="53" t="n"/>
      <c r="C918" s="53" t="n"/>
    </row>
    <row r="919">
      <c r="A919" s="53" t="n"/>
      <c r="B919" s="53" t="n"/>
      <c r="C919" s="53" t="n"/>
    </row>
    <row r="920">
      <c r="A920" s="53" t="n"/>
      <c r="B920" s="53" t="n"/>
      <c r="C920" s="53" t="n"/>
    </row>
    <row r="921">
      <c r="A921" s="53" t="n"/>
      <c r="B921" s="53" t="n"/>
      <c r="C921" s="53" t="n"/>
    </row>
    <row r="922">
      <c r="A922" s="53" t="n"/>
      <c r="B922" s="53" t="n"/>
      <c r="C922" s="53" t="n"/>
    </row>
    <row r="923">
      <c r="A923" s="53" t="n"/>
      <c r="B923" s="53" t="n"/>
      <c r="C923" s="53" t="n"/>
    </row>
    <row r="924">
      <c r="A924" s="53" t="n"/>
      <c r="B924" s="53" t="n"/>
      <c r="C924" s="53" t="n"/>
    </row>
    <row r="925">
      <c r="A925" s="53" t="n"/>
      <c r="B925" s="53" t="n"/>
      <c r="C925" s="53" t="n"/>
    </row>
    <row r="926">
      <c r="A926" s="53" t="n"/>
      <c r="B926" s="53" t="n"/>
      <c r="C926" s="53" t="n"/>
    </row>
    <row r="927">
      <c r="A927" s="53" t="n"/>
      <c r="B927" s="53" t="n"/>
      <c r="C927" s="53" t="n"/>
    </row>
    <row r="928">
      <c r="A928" s="53" t="n"/>
      <c r="B928" s="53" t="n"/>
      <c r="C928" s="53" t="n"/>
    </row>
    <row r="929">
      <c r="A929" s="53" t="n"/>
      <c r="B929" s="53" t="n"/>
      <c r="C929" s="53" t="n"/>
    </row>
    <row r="930">
      <c r="A930" s="53" t="n"/>
      <c r="B930" s="53" t="n"/>
      <c r="C930" s="53" t="n"/>
    </row>
    <row r="931">
      <c r="A931" s="53" t="n"/>
      <c r="B931" s="53" t="n"/>
      <c r="C931" s="53" t="n"/>
    </row>
    <row r="932">
      <c r="A932" s="53" t="n"/>
      <c r="B932" s="53" t="n"/>
      <c r="C932" s="53" t="n"/>
    </row>
    <row r="933">
      <c r="A933" s="53" t="n"/>
      <c r="B933" s="53" t="n"/>
      <c r="C933" s="53" t="n"/>
    </row>
    <row r="934">
      <c r="A934" s="53" t="n"/>
      <c r="B934" s="53" t="n"/>
      <c r="C934" s="53" t="n"/>
    </row>
    <row r="935">
      <c r="A935" s="53" t="n"/>
      <c r="B935" s="53" t="n"/>
      <c r="C935" s="53" t="n"/>
    </row>
    <row r="936">
      <c r="A936" s="53" t="n"/>
      <c r="B936" s="53" t="n"/>
      <c r="C936" s="53" t="n"/>
    </row>
    <row r="937">
      <c r="A937" s="53" t="n"/>
      <c r="B937" s="53" t="n"/>
      <c r="C937" s="53" t="n"/>
    </row>
    <row r="938">
      <c r="A938" s="53" t="n"/>
      <c r="B938" s="53" t="n"/>
      <c r="C938" s="53" t="n"/>
    </row>
    <row r="939">
      <c r="A939" s="53" t="n"/>
      <c r="B939" s="53" t="n"/>
      <c r="C939" s="53" t="n"/>
    </row>
    <row r="940">
      <c r="A940" s="53" t="n"/>
      <c r="B940" s="53" t="n"/>
      <c r="C940" s="53" t="n"/>
    </row>
    <row r="941">
      <c r="A941" s="53" t="n"/>
      <c r="B941" s="53" t="n"/>
      <c r="C941" s="53" t="n"/>
    </row>
    <row r="942">
      <c r="A942" s="53" t="n"/>
      <c r="B942" s="53" t="n"/>
      <c r="C942" s="53" t="n"/>
    </row>
    <row r="943">
      <c r="A943" s="53" t="n"/>
      <c r="B943" s="53" t="n"/>
      <c r="C943" s="53" t="n"/>
    </row>
    <row r="944">
      <c r="A944" s="53" t="n"/>
      <c r="B944" s="53" t="n"/>
      <c r="C944" s="53" t="n"/>
    </row>
    <row r="945">
      <c r="A945" s="53" t="n"/>
      <c r="B945" s="53" t="n"/>
      <c r="C945" s="53" t="n"/>
    </row>
    <row r="946">
      <c r="A946" s="53" t="n"/>
      <c r="B946" s="53" t="n"/>
      <c r="C946" s="53" t="n"/>
    </row>
    <row r="947">
      <c r="A947" s="53" t="n"/>
      <c r="B947" s="53" t="n"/>
      <c r="C947" s="53" t="n"/>
    </row>
    <row r="948">
      <c r="A948" s="53" t="n"/>
      <c r="B948" s="53" t="n"/>
      <c r="C948" s="53" t="n"/>
    </row>
    <row r="949">
      <c r="A949" s="53" t="n"/>
      <c r="B949" s="53" t="n"/>
      <c r="C949" s="53" t="n"/>
    </row>
    <row r="950">
      <c r="A950" s="53" t="n"/>
      <c r="B950" s="53" t="n"/>
      <c r="C950" s="53" t="n"/>
    </row>
    <row r="951">
      <c r="A951" s="53" t="n"/>
      <c r="B951" s="53" t="n"/>
      <c r="C951" s="53" t="n"/>
    </row>
    <row r="952">
      <c r="A952" s="53" t="n"/>
      <c r="B952" s="53" t="n"/>
      <c r="C952" s="53" t="n"/>
    </row>
    <row r="953">
      <c r="A953" s="53" t="n"/>
      <c r="B953" s="53" t="n"/>
      <c r="C953" s="53" t="n"/>
    </row>
    <row r="954">
      <c r="A954" s="53" t="n"/>
      <c r="B954" s="53" t="n"/>
      <c r="C954" s="53" t="n"/>
    </row>
    <row r="955">
      <c r="A955" s="53" t="n"/>
      <c r="B955" s="53" t="n"/>
      <c r="C955" s="53" t="n"/>
    </row>
    <row r="956">
      <c r="A956" s="53" t="n"/>
      <c r="B956" s="53" t="n"/>
      <c r="C956" s="53" t="n"/>
    </row>
    <row r="957">
      <c r="A957" s="53" t="n"/>
      <c r="B957" s="53" t="n"/>
      <c r="C957" s="53" t="n"/>
    </row>
    <row r="958">
      <c r="A958" s="53" t="n"/>
      <c r="B958" s="53" t="n"/>
      <c r="C958" s="53" t="n"/>
    </row>
    <row r="959">
      <c r="A959" s="53" t="n"/>
      <c r="B959" s="53" t="n"/>
      <c r="C959" s="53" t="n"/>
    </row>
    <row r="960">
      <c r="A960" s="53" t="n"/>
      <c r="B960" s="53" t="n"/>
      <c r="C960" s="53" t="n"/>
    </row>
    <row r="961">
      <c r="A961" s="53" t="n"/>
      <c r="B961" s="53" t="n"/>
      <c r="C961" s="53" t="n"/>
    </row>
    <row r="962">
      <c r="A962" s="53" t="n"/>
      <c r="B962" s="53" t="n"/>
      <c r="C962" s="53" t="n"/>
    </row>
    <row r="963">
      <c r="A963" s="53" t="n"/>
      <c r="B963" s="53" t="n"/>
      <c r="C963" s="53" t="n"/>
    </row>
    <row r="964">
      <c r="A964" s="53" t="n"/>
      <c r="B964" s="53" t="n"/>
      <c r="C964" s="53" t="n"/>
    </row>
    <row r="965">
      <c r="A965" s="53" t="n"/>
      <c r="B965" s="53" t="n"/>
      <c r="C965" s="53" t="n"/>
    </row>
    <row r="966">
      <c r="A966" s="53" t="n"/>
      <c r="B966" s="53" t="n"/>
      <c r="C966" s="53" t="n"/>
    </row>
    <row r="967">
      <c r="A967" s="53" t="n"/>
      <c r="B967" s="53" t="n"/>
      <c r="C967" s="53" t="n"/>
    </row>
    <row r="968">
      <c r="A968" s="53" t="n"/>
      <c r="B968" s="53" t="n"/>
      <c r="C968" s="53" t="n"/>
    </row>
    <row r="969">
      <c r="A969" s="53" t="n"/>
      <c r="B969" s="53" t="n"/>
      <c r="C969" s="53" t="n"/>
    </row>
    <row r="970">
      <c r="A970" s="53" t="n"/>
      <c r="B970" s="53" t="n"/>
      <c r="C970" s="53" t="n"/>
    </row>
    <row r="971">
      <c r="A971" s="53" t="n"/>
      <c r="B971" s="53" t="n"/>
      <c r="C971" s="53" t="n"/>
    </row>
    <row r="972">
      <c r="A972" s="53" t="n"/>
      <c r="B972" s="53" t="n"/>
      <c r="C972" s="53" t="n"/>
    </row>
    <row r="973">
      <c r="A973" s="53" t="n"/>
      <c r="B973" s="53" t="n"/>
      <c r="C973" s="53" t="n"/>
    </row>
    <row r="974">
      <c r="A974" s="53" t="n"/>
      <c r="B974" s="53" t="n"/>
      <c r="C974" s="53" t="n"/>
    </row>
    <row r="975">
      <c r="A975" s="53" t="n"/>
      <c r="B975" s="53" t="n"/>
      <c r="C975" s="53" t="n"/>
    </row>
    <row r="976">
      <c r="A976" s="53" t="n"/>
      <c r="B976" s="53" t="n"/>
      <c r="C976" s="53" t="n"/>
    </row>
    <row r="977">
      <c r="A977" s="53" t="n"/>
      <c r="B977" s="53" t="n"/>
      <c r="C977" s="53" t="n"/>
    </row>
    <row r="978">
      <c r="A978" s="53" t="n"/>
      <c r="B978" s="53" t="n"/>
      <c r="C978" s="53" t="n"/>
    </row>
    <row r="979">
      <c r="A979" s="53" t="n"/>
      <c r="B979" s="53" t="n"/>
      <c r="C979" s="53" t="n"/>
    </row>
    <row r="980">
      <c r="A980" s="53" t="n"/>
      <c r="B980" s="53" t="n"/>
      <c r="C980" s="53" t="n"/>
    </row>
    <row r="981">
      <c r="A981" s="53" t="n"/>
      <c r="B981" s="53" t="n"/>
      <c r="C981" s="53" t="n"/>
    </row>
    <row r="982">
      <c r="A982" s="53" t="n"/>
      <c r="B982" s="53" t="n"/>
      <c r="C982" s="53" t="n"/>
    </row>
    <row r="983">
      <c r="A983" s="53" t="n"/>
      <c r="B983" s="53" t="n"/>
      <c r="C983" s="53" t="n"/>
    </row>
    <row r="984">
      <c r="A984" s="53" t="n"/>
      <c r="B984" s="53" t="n"/>
      <c r="C984" s="53" t="n"/>
    </row>
    <row r="985">
      <c r="A985" s="53" t="n"/>
      <c r="B985" s="53" t="n"/>
      <c r="C985" s="53" t="n"/>
    </row>
    <row r="986">
      <c r="A986" s="53" t="n"/>
      <c r="B986" s="53" t="n"/>
      <c r="C986" s="53" t="n"/>
    </row>
    <row r="987">
      <c r="A987" s="53" t="n"/>
      <c r="B987" s="53" t="n"/>
      <c r="C987" s="53" t="n"/>
    </row>
    <row r="988">
      <c r="A988" s="53" t="n"/>
      <c r="B988" s="53" t="n"/>
      <c r="C988" s="53" t="n"/>
    </row>
    <row r="989">
      <c r="A989" s="53" t="n"/>
      <c r="B989" s="53" t="n"/>
      <c r="C989" s="53" t="n"/>
    </row>
    <row r="990">
      <c r="A990" s="53" t="n"/>
      <c r="B990" s="53" t="n"/>
      <c r="C990" s="53" t="n"/>
    </row>
    <row r="991">
      <c r="A991" s="53" t="n"/>
      <c r="B991" s="53" t="n"/>
      <c r="C991" s="53" t="n"/>
    </row>
    <row r="992">
      <c r="A992" s="53" t="n"/>
      <c r="B992" s="53" t="n"/>
      <c r="C992" s="53" t="n"/>
    </row>
    <row r="993">
      <c r="A993" s="53" t="n"/>
      <c r="B993" s="53" t="n"/>
      <c r="C993" s="53" t="n"/>
    </row>
    <row r="994">
      <c r="A994" s="53" t="n"/>
      <c r="B994" s="53" t="n"/>
      <c r="C994" s="53" t="n"/>
    </row>
    <row r="995">
      <c r="A995" s="53" t="n"/>
      <c r="B995" s="53" t="n"/>
      <c r="C995" s="53" t="n"/>
    </row>
    <row r="996">
      <c r="A996" s="53" t="n"/>
      <c r="B996" s="53" t="n"/>
      <c r="C996" s="53" t="n"/>
    </row>
    <row r="997">
      <c r="A997" s="53" t="n"/>
      <c r="B997" s="53" t="n"/>
      <c r="C997" s="53" t="n"/>
    </row>
    <row r="998">
      <c r="A998" s="53" t="n"/>
      <c r="B998" s="53" t="n"/>
      <c r="C998" s="53" t="n"/>
    </row>
    <row r="999">
      <c r="A999" s="53" t="n"/>
      <c r="B999" s="53" t="n"/>
      <c r="C999" s="53" t="n"/>
    </row>
    <row r="1000">
      <c r="A1000" s="53" t="n"/>
      <c r="B1000" s="53" t="n"/>
      <c r="C1000" s="53" t="n"/>
    </row>
    <row r="1001">
      <c r="A1001" s="53" t="n"/>
      <c r="B1001" s="53" t="n"/>
      <c r="C1001" s="53" t="n"/>
    </row>
    <row r="1002">
      <c r="A1002" s="53" t="n"/>
      <c r="B1002" s="53" t="n"/>
      <c r="C1002" s="53" t="n"/>
    </row>
    <row r="1003">
      <c r="A1003" s="53" t="n"/>
      <c r="B1003" s="53" t="n"/>
      <c r="C1003" s="53" t="n"/>
    </row>
    <row r="1004">
      <c r="A1004" s="53" t="n"/>
      <c r="B1004" s="53" t="n"/>
      <c r="C1004" s="53" t="n"/>
    </row>
    <row r="1005">
      <c r="A1005" s="53" t="n"/>
      <c r="B1005" s="53" t="n"/>
      <c r="C1005" s="53" t="n"/>
    </row>
    <row r="1006">
      <c r="A1006" s="53" t="n"/>
      <c r="B1006" s="53" t="n"/>
      <c r="C1006" s="53" t="n"/>
    </row>
    <row r="1007">
      <c r="A1007" s="53" t="n"/>
      <c r="B1007" s="53" t="n"/>
      <c r="C1007" s="53" t="n"/>
    </row>
    <row r="1008">
      <c r="A1008" s="53" t="n"/>
      <c r="B1008" s="53" t="n"/>
      <c r="C1008" s="53" t="n"/>
    </row>
    <row r="1009">
      <c r="A1009" s="53" t="n"/>
      <c r="B1009" s="53" t="n"/>
      <c r="C1009" s="53" t="n"/>
    </row>
    <row r="1010">
      <c r="A1010" s="53" t="n"/>
      <c r="B1010" s="53" t="n"/>
      <c r="C1010" s="53" t="n"/>
    </row>
    <row r="1011">
      <c r="A1011" s="53" t="n"/>
      <c r="B1011" s="53" t="n"/>
      <c r="C1011" s="53" t="n"/>
    </row>
    <row r="1012">
      <c r="A1012" s="53" t="n"/>
      <c r="B1012" s="53" t="n"/>
      <c r="C1012" s="53" t="n"/>
    </row>
    <row r="1013">
      <c r="A1013" s="53" t="n"/>
      <c r="B1013" s="53" t="n"/>
      <c r="C1013" s="53" t="n"/>
    </row>
    <row r="1014">
      <c r="A1014" s="53" t="n"/>
      <c r="B1014" s="53" t="n"/>
      <c r="C1014" s="53" t="n"/>
    </row>
    <row r="1015">
      <c r="A1015" s="53" t="n"/>
      <c r="B1015" s="53" t="n"/>
      <c r="C1015" s="53" t="n"/>
    </row>
    <row r="1016">
      <c r="A1016" s="53" t="n"/>
      <c r="B1016" s="53" t="n"/>
      <c r="C1016" s="53" t="n"/>
    </row>
    <row r="1017">
      <c r="A1017" s="53" t="n"/>
      <c r="B1017" s="53" t="n"/>
      <c r="C1017" s="53" t="n"/>
    </row>
    <row r="1018">
      <c r="A1018" s="53" t="n"/>
      <c r="B1018" s="53" t="n"/>
      <c r="C1018" s="53" t="n"/>
    </row>
    <row r="1019">
      <c r="A1019" s="53" t="n"/>
      <c r="B1019" s="53" t="n"/>
      <c r="C1019" s="53" t="n"/>
    </row>
    <row r="1020">
      <c r="A1020" s="53" t="n"/>
      <c r="B1020" s="53" t="n"/>
      <c r="C1020" s="53" t="n"/>
    </row>
    <row r="1021">
      <c r="A1021" s="53" t="n"/>
      <c r="B1021" s="53" t="n"/>
      <c r="C1021" s="53" t="n"/>
    </row>
    <row r="1022">
      <c r="A1022" s="53" t="n"/>
      <c r="B1022" s="53" t="n"/>
      <c r="C1022" s="53" t="n"/>
    </row>
    <row r="1023">
      <c r="A1023" s="53" t="n"/>
      <c r="B1023" s="53" t="n"/>
      <c r="C1023" s="53" t="n"/>
    </row>
    <row r="1024">
      <c r="A1024" s="53" t="n"/>
      <c r="B1024" s="53" t="n"/>
      <c r="C1024" s="53" t="n"/>
    </row>
    <row r="1025">
      <c r="A1025" s="53" t="n"/>
      <c r="B1025" s="53" t="n"/>
      <c r="C1025" s="53" t="n"/>
    </row>
    <row r="1026">
      <c r="A1026" s="53" t="n"/>
      <c r="B1026" s="53" t="n"/>
      <c r="C1026" s="53" t="n"/>
    </row>
    <row r="1027">
      <c r="A1027" s="53" t="n"/>
      <c r="B1027" s="53" t="n"/>
      <c r="C1027" s="53" t="n"/>
    </row>
    <row r="1028">
      <c r="A1028" s="53" t="n"/>
      <c r="B1028" s="53" t="n"/>
      <c r="C1028" s="53" t="n"/>
    </row>
    <row r="1029">
      <c r="A1029" s="53" t="n"/>
      <c r="B1029" s="53" t="n"/>
      <c r="C1029" s="53" t="n"/>
    </row>
    <row r="1030">
      <c r="A1030" s="53" t="n"/>
      <c r="B1030" s="53" t="n"/>
      <c r="C1030" s="53" t="n"/>
    </row>
    <row r="1031">
      <c r="A1031" s="53" t="n"/>
      <c r="B1031" s="53" t="n"/>
      <c r="C1031" s="53" t="n"/>
    </row>
    <row r="1032">
      <c r="A1032" s="53" t="n"/>
      <c r="B1032" s="53" t="n"/>
      <c r="C1032" s="53" t="n"/>
    </row>
    <row r="1033">
      <c r="A1033" s="53" t="n"/>
      <c r="B1033" s="53" t="n"/>
      <c r="C1033" s="53" t="n"/>
    </row>
    <row r="1034">
      <c r="A1034" s="53" t="n"/>
      <c r="B1034" s="53" t="n"/>
      <c r="C1034" s="53" t="n"/>
    </row>
    <row r="1035">
      <c r="A1035" s="53" t="n"/>
      <c r="B1035" s="53" t="n"/>
      <c r="C1035" s="53" t="n"/>
    </row>
    <row r="1036">
      <c r="A1036" s="53" t="n"/>
      <c r="B1036" s="53" t="n"/>
      <c r="C1036" s="53" t="n"/>
    </row>
    <row r="1037">
      <c r="A1037" s="53" t="n"/>
      <c r="B1037" s="53" t="n"/>
      <c r="C1037" s="53" t="n"/>
    </row>
    <row r="1038">
      <c r="A1038" s="53" t="n"/>
      <c r="B1038" s="53" t="n"/>
      <c r="C1038" s="53" t="n"/>
    </row>
    <row r="1039">
      <c r="A1039" s="53" t="n"/>
      <c r="B1039" s="53" t="n"/>
      <c r="C1039" s="53" t="n"/>
    </row>
    <row r="1040">
      <c r="A1040" s="53" t="n"/>
      <c r="B1040" s="53" t="n"/>
      <c r="C1040" s="53" t="n"/>
    </row>
    <row r="1041">
      <c r="A1041" s="53" t="n"/>
      <c r="B1041" s="53" t="n"/>
      <c r="C1041" s="53" t="n"/>
    </row>
    <row r="1042">
      <c r="A1042" s="53" t="n"/>
      <c r="B1042" s="53" t="n"/>
      <c r="C1042" s="53" t="n"/>
    </row>
    <row r="1043">
      <c r="A1043" s="53" t="n"/>
      <c r="B1043" s="53" t="n"/>
      <c r="C1043" s="53" t="n"/>
    </row>
    <row r="1044">
      <c r="A1044" s="53" t="n"/>
      <c r="B1044" s="53" t="n"/>
      <c r="C1044" s="53" t="n"/>
    </row>
    <row r="1045">
      <c r="A1045" s="53" t="n"/>
      <c r="B1045" s="53" t="n"/>
      <c r="C1045" s="53" t="n"/>
    </row>
    <row r="1046">
      <c r="A1046" s="53" t="n"/>
      <c r="B1046" s="53" t="n"/>
      <c r="C1046" s="53" t="n"/>
    </row>
    <row r="1047">
      <c r="A1047" s="53" t="n"/>
      <c r="B1047" s="53" t="n"/>
      <c r="C1047" s="53" t="n"/>
    </row>
    <row r="1048">
      <c r="A1048" s="53" t="n"/>
      <c r="B1048" s="53" t="n"/>
      <c r="C1048" s="53" t="n"/>
    </row>
    <row r="1049">
      <c r="A1049" s="53" t="n"/>
      <c r="B1049" s="53" t="n"/>
      <c r="C1049" s="53" t="n"/>
    </row>
    <row r="1050">
      <c r="A1050" s="53" t="n"/>
      <c r="B1050" s="53" t="n"/>
      <c r="C1050" s="53" t="n"/>
    </row>
    <row r="1051">
      <c r="A1051" s="53" t="n"/>
      <c r="B1051" s="53" t="n"/>
      <c r="C1051" s="53" t="n"/>
    </row>
    <row r="1052">
      <c r="A1052" s="53" t="n"/>
      <c r="B1052" s="53" t="n"/>
      <c r="C1052" s="53" t="n"/>
    </row>
    <row r="1053">
      <c r="A1053" s="53" t="n"/>
      <c r="B1053" s="53" t="n"/>
      <c r="C1053" s="53" t="n"/>
    </row>
    <row r="1054">
      <c r="A1054" s="53" t="n"/>
      <c r="B1054" s="53" t="n"/>
      <c r="C1054" s="53" t="n"/>
    </row>
    <row r="1055">
      <c r="A1055" s="53" t="n"/>
      <c r="B1055" s="53" t="n"/>
      <c r="C1055" s="53" t="n"/>
    </row>
    <row r="1056">
      <c r="A1056" s="53" t="n"/>
      <c r="B1056" s="53" t="n"/>
      <c r="C1056" s="53" t="n"/>
    </row>
    <row r="1057">
      <c r="A1057" s="53" t="n"/>
      <c r="B1057" s="53" t="n"/>
      <c r="C1057" s="53" t="n"/>
    </row>
    <row r="1058">
      <c r="A1058" s="53" t="n"/>
      <c r="B1058" s="53" t="n"/>
      <c r="C1058" s="53" t="n"/>
    </row>
    <row r="1059">
      <c r="A1059" s="53" t="n"/>
      <c r="B1059" s="53" t="n"/>
      <c r="C1059" s="53" t="n"/>
    </row>
    <row r="1060">
      <c r="A1060" s="53" t="n"/>
      <c r="B1060" s="53" t="n"/>
      <c r="C1060" s="53" t="n"/>
    </row>
    <row r="1061">
      <c r="A1061" s="53" t="n"/>
      <c r="B1061" s="53" t="n"/>
      <c r="C1061" s="53" t="n"/>
    </row>
    <row r="1062">
      <c r="A1062" s="53" t="n"/>
      <c r="B1062" s="53" t="n"/>
      <c r="C1062" s="53" t="n"/>
    </row>
    <row r="1063">
      <c r="A1063" s="53" t="n"/>
      <c r="B1063" s="53" t="n"/>
      <c r="C1063" s="53" t="n"/>
    </row>
    <row r="1064">
      <c r="A1064" s="53" t="n"/>
      <c r="B1064" s="53" t="n"/>
      <c r="C1064" s="53" t="n"/>
    </row>
    <row r="1065">
      <c r="A1065" s="53" t="n"/>
      <c r="B1065" s="53" t="n"/>
      <c r="C1065" s="53" t="n"/>
    </row>
    <row r="1066">
      <c r="A1066" s="53" t="n"/>
      <c r="B1066" s="53" t="n"/>
      <c r="C1066" s="53" t="n"/>
    </row>
    <row r="1067">
      <c r="A1067" s="53" t="n"/>
      <c r="B1067" s="53" t="n"/>
      <c r="C1067" s="53" t="n"/>
    </row>
    <row r="1068">
      <c r="A1068" s="53" t="n"/>
      <c r="B1068" s="53" t="n"/>
      <c r="C1068" s="53" t="n"/>
    </row>
    <row r="1069">
      <c r="A1069" s="53" t="n"/>
      <c r="B1069" s="53" t="n"/>
      <c r="C1069" s="53" t="n"/>
    </row>
    <row r="1070">
      <c r="A1070" s="53" t="n"/>
      <c r="B1070" s="53" t="n"/>
      <c r="C1070" s="53" t="n"/>
    </row>
    <row r="1071">
      <c r="A1071" s="53" t="n"/>
      <c r="B1071" s="53" t="n"/>
      <c r="C1071" s="53" t="n"/>
    </row>
    <row r="1072">
      <c r="A1072" s="53" t="n"/>
      <c r="B1072" s="53" t="n"/>
      <c r="C1072" s="53" t="n"/>
    </row>
    <row r="1073">
      <c r="A1073" s="53" t="n"/>
      <c r="B1073" s="53" t="n"/>
      <c r="C1073" s="53" t="n"/>
    </row>
    <row r="1074">
      <c r="A1074" s="53" t="n"/>
      <c r="B1074" s="53" t="n"/>
      <c r="C1074" s="53" t="n"/>
    </row>
    <row r="1075">
      <c r="A1075" s="53" t="n"/>
      <c r="B1075" s="53" t="n"/>
      <c r="C1075" s="53" t="n"/>
    </row>
    <row r="1076">
      <c r="A1076" s="53" t="n"/>
      <c r="B1076" s="53" t="n"/>
      <c r="C1076" s="53" t="n"/>
    </row>
    <row r="1077">
      <c r="A1077" s="53" t="n"/>
      <c r="B1077" s="53" t="n"/>
      <c r="C1077" s="53" t="n"/>
    </row>
    <row r="1078">
      <c r="A1078" s="53" t="n"/>
      <c r="B1078" s="53" t="n"/>
      <c r="C1078" s="53" t="n"/>
    </row>
    <row r="1079">
      <c r="A1079" s="53" t="n"/>
      <c r="B1079" s="53" t="n"/>
      <c r="C1079" s="53" t="n"/>
    </row>
    <row r="1080">
      <c r="A1080" s="53" t="n"/>
      <c r="B1080" s="53" t="n"/>
      <c r="C1080" s="53" t="n"/>
    </row>
    <row r="1081">
      <c r="A1081" s="53" t="n"/>
      <c r="B1081" s="53" t="n"/>
      <c r="C1081" s="53" t="n"/>
    </row>
    <row r="1082">
      <c r="A1082" s="53" t="n"/>
      <c r="B1082" s="53" t="n"/>
      <c r="C1082" s="53" t="n"/>
    </row>
    <row r="1083">
      <c r="A1083" s="53" t="n"/>
      <c r="B1083" s="53" t="n"/>
      <c r="C1083" s="53" t="n"/>
    </row>
    <row r="1084">
      <c r="A1084" s="53" t="n"/>
      <c r="B1084" s="53" t="n"/>
      <c r="C1084" s="53" t="n"/>
    </row>
    <row r="1085">
      <c r="A1085" s="53" t="n"/>
      <c r="B1085" s="53" t="n"/>
      <c r="C1085" s="53" t="n"/>
    </row>
    <row r="1086">
      <c r="A1086" s="53" t="n"/>
      <c r="B1086" s="53" t="n"/>
      <c r="C1086" s="53" t="n"/>
    </row>
    <row r="1087">
      <c r="A1087" s="53" t="n"/>
      <c r="B1087" s="53" t="n"/>
      <c r="C1087" s="53" t="n"/>
    </row>
    <row r="1088">
      <c r="A1088" s="53" t="n"/>
      <c r="B1088" s="53" t="n"/>
      <c r="C1088" s="53" t="n"/>
    </row>
    <row r="1089">
      <c r="A1089" s="53" t="n"/>
      <c r="B1089" s="53" t="n"/>
      <c r="C1089" s="53" t="n"/>
    </row>
    <row r="1090">
      <c r="A1090" s="53" t="n"/>
      <c r="B1090" s="53" t="n"/>
      <c r="C1090" s="53" t="n"/>
    </row>
    <row r="1091">
      <c r="A1091" s="53" t="n"/>
      <c r="B1091" s="53" t="n"/>
      <c r="C1091" s="53" t="n"/>
    </row>
    <row r="1092">
      <c r="A1092" s="53" t="n"/>
      <c r="B1092" s="53" t="n"/>
      <c r="C1092" s="53" t="n"/>
    </row>
    <row r="1093">
      <c r="A1093" s="53" t="n"/>
      <c r="B1093" s="53" t="n"/>
      <c r="C1093" s="53" t="n"/>
    </row>
    <row r="1094">
      <c r="A1094" s="53" t="n"/>
      <c r="B1094" s="53" t="n"/>
      <c r="C1094" s="53" t="n"/>
    </row>
    <row r="1095">
      <c r="A1095" s="53" t="n"/>
      <c r="B1095" s="53" t="n"/>
      <c r="C1095" s="53" t="n"/>
    </row>
    <row r="1096">
      <c r="A1096" s="53" t="n"/>
      <c r="B1096" s="53" t="n"/>
      <c r="C1096" s="53" t="n"/>
    </row>
    <row r="1097">
      <c r="A1097" s="53" t="n"/>
      <c r="B1097" s="53" t="n"/>
      <c r="C1097" s="53" t="n"/>
    </row>
    <row r="1098">
      <c r="A1098" s="53" t="n"/>
      <c r="B1098" s="53" t="n"/>
      <c r="C1098" s="53" t="n"/>
    </row>
    <row r="1099">
      <c r="A1099" s="53" t="n"/>
      <c r="B1099" s="53" t="n"/>
      <c r="C1099" s="53" t="n"/>
    </row>
    <row r="1100">
      <c r="A1100" s="53" t="n"/>
      <c r="B1100" s="53" t="n"/>
      <c r="C1100" s="53" t="n"/>
    </row>
    <row r="1101">
      <c r="A1101" s="53" t="n"/>
      <c r="B1101" s="53" t="n"/>
      <c r="C1101" s="53" t="n"/>
    </row>
    <row r="1102">
      <c r="A1102" s="53" t="n"/>
      <c r="B1102" s="53" t="n"/>
      <c r="C1102" s="53" t="n"/>
    </row>
    <row r="1103">
      <c r="A1103" s="53" t="n"/>
      <c r="B1103" s="53" t="n"/>
      <c r="C1103" s="53" t="n"/>
    </row>
    <row r="1104">
      <c r="A1104" s="53" t="n"/>
      <c r="B1104" s="53" t="n"/>
      <c r="C1104" s="53" t="n"/>
    </row>
    <row r="1105">
      <c r="A1105" s="53" t="n"/>
      <c r="B1105" s="53" t="n"/>
      <c r="C1105" s="53" t="n"/>
    </row>
    <row r="1106">
      <c r="A1106" s="53" t="n"/>
      <c r="B1106" s="53" t="n"/>
      <c r="C1106" s="53" t="n"/>
    </row>
    <row r="1107">
      <c r="A1107" s="53" t="n"/>
      <c r="B1107" s="53" t="n"/>
      <c r="C1107" s="53" t="n"/>
    </row>
    <row r="1108">
      <c r="A1108" s="53" t="n"/>
      <c r="B1108" s="53" t="n"/>
      <c r="C1108" s="53" t="n"/>
    </row>
    <row r="1109">
      <c r="A1109" s="53" t="n"/>
      <c r="B1109" s="53" t="n"/>
      <c r="C1109" s="53" t="n"/>
    </row>
    <row r="1110">
      <c r="A1110" s="53" t="n"/>
      <c r="B1110" s="53" t="n"/>
      <c r="C1110" s="53" t="n"/>
    </row>
    <row r="1111">
      <c r="A1111" s="53" t="n"/>
      <c r="B1111" s="53" t="n"/>
      <c r="C1111" s="53" t="n"/>
    </row>
    <row r="1112">
      <c r="A1112" s="53" t="n"/>
      <c r="B1112" s="53" t="n"/>
      <c r="C1112" s="53" t="n"/>
    </row>
    <row r="1113">
      <c r="A1113" s="53" t="n"/>
      <c r="B1113" s="53" t="n"/>
      <c r="C1113" s="53" t="n"/>
    </row>
    <row r="1114">
      <c r="A1114" s="53" t="n"/>
      <c r="B1114" s="53" t="n"/>
      <c r="C1114" s="53" t="n"/>
    </row>
    <row r="1115">
      <c r="A1115" s="53" t="n"/>
      <c r="B1115" s="53" t="n"/>
      <c r="C1115" s="53" t="n"/>
    </row>
    <row r="1116">
      <c r="A1116" s="53" t="n"/>
      <c r="B1116" s="53" t="n"/>
      <c r="C1116" s="53" t="n"/>
    </row>
    <row r="1117">
      <c r="A1117" s="53" t="n"/>
      <c r="B1117" s="53" t="n"/>
      <c r="C1117" s="53" t="n"/>
    </row>
    <row r="1118">
      <c r="A1118" s="53" t="n"/>
      <c r="B1118" s="53" t="n"/>
      <c r="C1118" s="53" t="n"/>
    </row>
    <row r="1119">
      <c r="A1119" s="53" t="n"/>
      <c r="B1119" s="53" t="n"/>
      <c r="C1119" s="53" t="n"/>
    </row>
    <row r="1120">
      <c r="A1120" s="53" t="n"/>
      <c r="B1120" s="53" t="n"/>
      <c r="C1120" s="53" t="n"/>
    </row>
    <row r="1121">
      <c r="A1121" s="53" t="n"/>
      <c r="B1121" s="53" t="n"/>
      <c r="C1121" s="53" t="n"/>
    </row>
    <row r="1122">
      <c r="A1122" s="53" t="n"/>
      <c r="B1122" s="53" t="n"/>
      <c r="C1122" s="53" t="n"/>
    </row>
    <row r="1123">
      <c r="A1123" s="53" t="n"/>
      <c r="B1123" s="53" t="n"/>
      <c r="C1123" s="53" t="n"/>
    </row>
    <row r="1124">
      <c r="A1124" s="53" t="n"/>
      <c r="B1124" s="53" t="n"/>
      <c r="C1124" s="53" t="n"/>
    </row>
    <row r="1125">
      <c r="A1125" s="53" t="n"/>
      <c r="B1125" s="53" t="n"/>
      <c r="C1125" s="53" t="n"/>
    </row>
    <row r="1126">
      <c r="A1126" s="53" t="n"/>
      <c r="B1126" s="53" t="n"/>
      <c r="C1126" s="53" t="n"/>
    </row>
    <row r="1127">
      <c r="A1127" s="53" t="n"/>
      <c r="B1127" s="53" t="n"/>
      <c r="C1127" s="53" t="n"/>
    </row>
    <row r="1128">
      <c r="A1128" s="53" t="n"/>
      <c r="B1128" s="53" t="n"/>
      <c r="C1128" s="53" t="n"/>
    </row>
    <row r="1129">
      <c r="A1129" s="53" t="n"/>
      <c r="B1129" s="53" t="n"/>
      <c r="C1129" s="53" t="n"/>
    </row>
    <row r="1130">
      <c r="A1130" s="53" t="n"/>
      <c r="B1130" s="53" t="n"/>
      <c r="C1130" s="53" t="n"/>
    </row>
    <row r="1131">
      <c r="A1131" s="53" t="n"/>
      <c r="B1131" s="53" t="n"/>
      <c r="C1131" s="53" t="n"/>
    </row>
    <row r="1132">
      <c r="A1132" s="53" t="n"/>
      <c r="B1132" s="53" t="n"/>
      <c r="C1132" s="53" t="n"/>
    </row>
    <row r="1133">
      <c r="A1133" s="53" t="n"/>
      <c r="B1133" s="53" t="n"/>
      <c r="C1133" s="53" t="n"/>
    </row>
    <row r="1134">
      <c r="A1134" s="53" t="n"/>
      <c r="B1134" s="53" t="n"/>
      <c r="C1134" s="53" t="n"/>
    </row>
    <row r="1135">
      <c r="A1135" s="53" t="n"/>
      <c r="B1135" s="53" t="n"/>
      <c r="C1135" s="53" t="n"/>
    </row>
    <row r="1136">
      <c r="A1136" s="53" t="n"/>
      <c r="B1136" s="53" t="n"/>
      <c r="C1136" s="53" t="n"/>
    </row>
    <row r="1137">
      <c r="A1137" s="53" t="n"/>
      <c r="B1137" s="53" t="n"/>
      <c r="C1137" s="53" t="n"/>
    </row>
    <row r="1138">
      <c r="A1138" s="53" t="n"/>
      <c r="B1138" s="53" t="n"/>
      <c r="C1138" s="53" t="n"/>
    </row>
    <row r="1139">
      <c r="A1139" s="53" t="n"/>
      <c r="B1139" s="53" t="n"/>
      <c r="C1139" s="53" t="n"/>
    </row>
    <row r="1140">
      <c r="A1140" s="53" t="n"/>
      <c r="B1140" s="53" t="n"/>
      <c r="C1140" s="53" t="n"/>
    </row>
    <row r="1141">
      <c r="A1141" s="53" t="n"/>
      <c r="B1141" s="53" t="n"/>
      <c r="C1141" s="53" t="n"/>
    </row>
    <row r="1142">
      <c r="A1142" s="53" t="n"/>
      <c r="B1142" s="53" t="n"/>
      <c r="C1142" s="53" t="n"/>
    </row>
    <row r="1143">
      <c r="A1143" s="53" t="n"/>
      <c r="B1143" s="53" t="n"/>
      <c r="C1143" s="53" t="n"/>
    </row>
    <row r="1144">
      <c r="A1144" s="53" t="n"/>
      <c r="B1144" s="53" t="n"/>
      <c r="C1144" s="53" t="n"/>
    </row>
    <row r="1145">
      <c r="A1145" s="53" t="n"/>
      <c r="B1145" s="53" t="n"/>
      <c r="C1145" s="53" t="n"/>
    </row>
    <row r="1146">
      <c r="A1146" s="53" t="n"/>
      <c r="B1146" s="53" t="n"/>
      <c r="C1146" s="53" t="n"/>
    </row>
    <row r="1147">
      <c r="A1147" s="53" t="n"/>
      <c r="B1147" s="53" t="n"/>
      <c r="C1147" s="53" t="n"/>
    </row>
    <row r="1148">
      <c r="A1148" s="53" t="n"/>
      <c r="B1148" s="53" t="n"/>
      <c r="C1148" s="53" t="n"/>
    </row>
    <row r="1149">
      <c r="A1149" s="53" t="n"/>
      <c r="B1149" s="53" t="n"/>
      <c r="C1149" s="53" t="n"/>
    </row>
    <row r="1150">
      <c r="A1150" s="53" t="n"/>
      <c r="B1150" s="53" t="n"/>
      <c r="C1150" s="53" t="n"/>
    </row>
    <row r="1151">
      <c r="A1151" s="53" t="n"/>
      <c r="B1151" s="53" t="n"/>
      <c r="C1151" s="53" t="n"/>
    </row>
    <row r="1152">
      <c r="A1152" s="53" t="n"/>
      <c r="B1152" s="53" t="n"/>
      <c r="C1152" s="53" t="n"/>
    </row>
    <row r="1153">
      <c r="A1153" s="53" t="n"/>
      <c r="B1153" s="53" t="n"/>
      <c r="C1153" s="53" t="n"/>
    </row>
    <row r="1154">
      <c r="A1154" s="53" t="n"/>
      <c r="B1154" s="53" t="n"/>
      <c r="C1154" s="53" t="n"/>
    </row>
    <row r="1155">
      <c r="A1155" s="53" t="n"/>
      <c r="B1155" s="53" t="n"/>
      <c r="C1155" s="53" t="n"/>
    </row>
    <row r="1156">
      <c r="A1156" s="53" t="n"/>
      <c r="B1156" s="53" t="n"/>
      <c r="C1156" s="53" t="n"/>
    </row>
    <row r="1157">
      <c r="A1157" s="53" t="n"/>
      <c r="B1157" s="53" t="n"/>
      <c r="C1157" s="53" t="n"/>
    </row>
    <row r="1158">
      <c r="A1158" s="53" t="n"/>
      <c r="B1158" s="53" t="n"/>
      <c r="C1158" s="53" t="n"/>
    </row>
    <row r="1159">
      <c r="A1159" s="53" t="n"/>
      <c r="B1159" s="53" t="n"/>
      <c r="C1159" s="53" t="n"/>
    </row>
    <row r="1160">
      <c r="A1160" s="53" t="n"/>
      <c r="B1160" s="53" t="n"/>
      <c r="C1160" s="53" t="n"/>
    </row>
    <row r="1161">
      <c r="A1161" s="53" t="n"/>
      <c r="B1161" s="53" t="n"/>
      <c r="C1161" s="53" t="n"/>
    </row>
    <row r="1162">
      <c r="A1162" s="53" t="n"/>
      <c r="B1162" s="53" t="n"/>
      <c r="C1162" s="53" t="n"/>
    </row>
    <row r="1163">
      <c r="A1163" s="53" t="n"/>
      <c r="B1163" s="53" t="n"/>
      <c r="C1163" s="53" t="n"/>
    </row>
    <row r="1164">
      <c r="A1164" s="53" t="n"/>
      <c r="B1164" s="53" t="n"/>
      <c r="C1164" s="53" t="n"/>
    </row>
    <row r="1165">
      <c r="A1165" s="53" t="n"/>
      <c r="B1165" s="53" t="n"/>
      <c r="C1165" s="53" t="n"/>
    </row>
    <row r="1166">
      <c r="A1166" s="53" t="n"/>
      <c r="B1166" s="53" t="n"/>
      <c r="C1166" s="53" t="n"/>
    </row>
    <row r="1167">
      <c r="A1167" s="53" t="n"/>
      <c r="B1167" s="53" t="n"/>
      <c r="C1167" s="53" t="n"/>
    </row>
    <row r="1168">
      <c r="A1168" s="53" t="n"/>
      <c r="B1168" s="53" t="n"/>
      <c r="C1168" s="53" t="n"/>
    </row>
    <row r="1169">
      <c r="A1169" s="53" t="n"/>
      <c r="B1169" s="53" t="n"/>
      <c r="C1169" s="53" t="n"/>
    </row>
    <row r="1170">
      <c r="A1170" s="53" t="n"/>
      <c r="B1170" s="53" t="n"/>
      <c r="C1170" s="53" t="n"/>
    </row>
    <row r="1171">
      <c r="A1171" s="53" t="n"/>
      <c r="B1171" s="53" t="n"/>
      <c r="C1171" s="53" t="n"/>
    </row>
    <row r="1172">
      <c r="A1172" s="53" t="n"/>
      <c r="B1172" s="53" t="n"/>
      <c r="C1172" s="53" t="n"/>
    </row>
    <row r="1173">
      <c r="A1173" s="53" t="n"/>
      <c r="B1173" s="53" t="n"/>
      <c r="C1173" s="53" t="n"/>
    </row>
    <row r="1174">
      <c r="A1174" s="53" t="n"/>
      <c r="B1174" s="53" t="n"/>
      <c r="C1174" s="53" t="n"/>
    </row>
    <row r="1175">
      <c r="A1175" s="53" t="n"/>
      <c r="B1175" s="53" t="n"/>
      <c r="C1175" s="53" t="n"/>
    </row>
    <row r="1176">
      <c r="A1176" s="53" t="n"/>
      <c r="B1176" s="53" t="n"/>
      <c r="C1176" s="53" t="n"/>
    </row>
    <row r="1177">
      <c r="A1177" s="53" t="n"/>
      <c r="B1177" s="53" t="n"/>
      <c r="C1177" s="53" t="n"/>
    </row>
    <row r="1178">
      <c r="A1178" s="53" t="n"/>
      <c r="B1178" s="53" t="n"/>
      <c r="C1178" s="53" t="n"/>
    </row>
    <row r="1179">
      <c r="A1179" s="53" t="n"/>
      <c r="B1179" s="53" t="n"/>
      <c r="C1179" s="53" t="n"/>
    </row>
    <row r="1180">
      <c r="A1180" s="53" t="n"/>
      <c r="B1180" s="53" t="n"/>
      <c r="C1180" s="53" t="n"/>
    </row>
    <row r="1181">
      <c r="A1181" s="53" t="n"/>
      <c r="B1181" s="53" t="n"/>
      <c r="C1181" s="53" t="n"/>
    </row>
    <row r="1182">
      <c r="A1182" s="53" t="n"/>
      <c r="B1182" s="53" t="n"/>
      <c r="C1182" s="53" t="n"/>
    </row>
    <row r="1183">
      <c r="A1183" s="53" t="n"/>
      <c r="B1183" s="53" t="n"/>
      <c r="C1183" s="53" t="n"/>
    </row>
    <row r="1184">
      <c r="A1184" s="53" t="n"/>
      <c r="B1184" s="53" t="n"/>
      <c r="C1184" s="53" t="n"/>
    </row>
    <row r="1185">
      <c r="A1185" s="53" t="n"/>
      <c r="B1185" s="53" t="n"/>
      <c r="C1185" s="53" t="n"/>
    </row>
    <row r="1186">
      <c r="A1186" s="53" t="n"/>
      <c r="B1186" s="53" t="n"/>
      <c r="C1186" s="53" t="n"/>
    </row>
    <row r="1187">
      <c r="A1187" s="53" t="n"/>
      <c r="B1187" s="53" t="n"/>
      <c r="C1187" s="53" t="n"/>
    </row>
    <row r="1188">
      <c r="A1188" s="53" t="n"/>
      <c r="B1188" s="53" t="n"/>
      <c r="C1188" s="53" t="n"/>
    </row>
    <row r="1189">
      <c r="A1189" s="53" t="n"/>
      <c r="B1189" s="53" t="n"/>
      <c r="C1189" s="53" t="n"/>
    </row>
    <row r="1190">
      <c r="A1190" s="53" t="n"/>
      <c r="B1190" s="53" t="n"/>
      <c r="C1190" s="53" t="n"/>
    </row>
    <row r="1191">
      <c r="A1191" s="53" t="n"/>
      <c r="B1191" s="53" t="n"/>
      <c r="C1191" s="53" t="n"/>
    </row>
    <row r="1192">
      <c r="A1192" s="53" t="n"/>
      <c r="B1192" s="53" t="n"/>
      <c r="C1192" s="53" t="n"/>
    </row>
    <row r="1193">
      <c r="A1193" s="53" t="n"/>
      <c r="B1193" s="53" t="n"/>
      <c r="C1193" s="53" t="n"/>
    </row>
    <row r="1194">
      <c r="A1194" s="53" t="n"/>
      <c r="B1194" s="53" t="n"/>
      <c r="C1194" s="53" t="n"/>
    </row>
    <row r="1195">
      <c r="A1195" s="53" t="n"/>
      <c r="B1195" s="53" t="n"/>
      <c r="C1195" s="53" t="n"/>
    </row>
    <row r="1196">
      <c r="A1196" s="53" t="n"/>
      <c r="B1196" s="53" t="n"/>
      <c r="C1196" s="53" t="n"/>
    </row>
    <row r="1197">
      <c r="A1197" s="53" t="n"/>
      <c r="B1197" s="53" t="n"/>
      <c r="C1197" s="53" t="n"/>
    </row>
    <row r="1198">
      <c r="A1198" s="53" t="n"/>
      <c r="B1198" s="53" t="n"/>
      <c r="C1198" s="53" t="n"/>
    </row>
    <row r="1199">
      <c r="A1199" s="53" t="n"/>
      <c r="B1199" s="53" t="n"/>
      <c r="C1199" s="53" t="n"/>
    </row>
    <row r="1200">
      <c r="A1200" s="53" t="n"/>
      <c r="B1200" s="53" t="n"/>
      <c r="C1200" s="53" t="n"/>
    </row>
    <row r="1201">
      <c r="A1201" s="53" t="n"/>
      <c r="B1201" s="53" t="n"/>
      <c r="C1201" s="53" t="n"/>
    </row>
    <row r="1202">
      <c r="A1202" s="53" t="n"/>
      <c r="B1202" s="53" t="n"/>
      <c r="C1202" s="53" t="n"/>
    </row>
    <row r="1203">
      <c r="A1203" s="53" t="n"/>
      <c r="B1203" s="53" t="n"/>
      <c r="C1203" s="53" t="n"/>
    </row>
    <row r="1204">
      <c r="A1204" s="53" t="n"/>
      <c r="B1204" s="53" t="n"/>
      <c r="C1204" s="53" t="n"/>
    </row>
    <row r="1205">
      <c r="A1205" s="53" t="n"/>
      <c r="B1205" s="53" t="n"/>
      <c r="C1205" s="53" t="n"/>
    </row>
    <row r="1206">
      <c r="A1206" s="53" t="n"/>
      <c r="B1206" s="53" t="n"/>
      <c r="C1206" s="53" t="n"/>
    </row>
    <row r="1207">
      <c r="A1207" s="53" t="n"/>
      <c r="B1207" s="53" t="n"/>
      <c r="C1207" s="53" t="n"/>
    </row>
    <row r="1208">
      <c r="A1208" s="53" t="n"/>
      <c r="B1208" s="53" t="n"/>
      <c r="C1208" s="53" t="n"/>
    </row>
    <row r="1209">
      <c r="A1209" s="53" t="n"/>
      <c r="B1209" s="53" t="n"/>
      <c r="C1209" s="53" t="n"/>
    </row>
    <row r="1210">
      <c r="A1210" s="53" t="n"/>
      <c r="B1210" s="53" t="n"/>
      <c r="C1210" s="53" t="n"/>
    </row>
    <row r="1211">
      <c r="A1211" s="53" t="n"/>
      <c r="B1211" s="53" t="n"/>
      <c r="C1211" s="53" t="n"/>
    </row>
    <row r="1212">
      <c r="A1212" s="53" t="n"/>
      <c r="B1212" s="53" t="n"/>
      <c r="C1212" s="53" t="n"/>
    </row>
    <row r="1213">
      <c r="A1213" s="53" t="n"/>
      <c r="B1213" s="53" t="n"/>
      <c r="C1213" s="53" t="n"/>
    </row>
    <row r="1214">
      <c r="A1214" s="53" t="n"/>
      <c r="B1214" s="53" t="n"/>
      <c r="C1214" s="53" t="n"/>
    </row>
    <row r="1215">
      <c r="A1215" s="53" t="n"/>
      <c r="B1215" s="53" t="n"/>
      <c r="C1215" s="53" t="n"/>
    </row>
    <row r="1216">
      <c r="A1216" s="53" t="n"/>
      <c r="B1216" s="53" t="n"/>
      <c r="C1216" s="53" t="n"/>
    </row>
    <row r="1217">
      <c r="A1217" s="53" t="n"/>
      <c r="B1217" s="53" t="n"/>
      <c r="C1217" s="53" t="n"/>
    </row>
    <row r="1218">
      <c r="A1218" s="53" t="n"/>
      <c r="B1218" s="53" t="n"/>
      <c r="C1218" s="53" t="n"/>
    </row>
    <row r="1219">
      <c r="A1219" s="53" t="n"/>
      <c r="B1219" s="53" t="n"/>
      <c r="C1219" s="53" t="n"/>
    </row>
    <row r="1220">
      <c r="A1220" s="53" t="n"/>
      <c r="B1220" s="53" t="n"/>
      <c r="C1220" s="53" t="n"/>
    </row>
    <row r="1221">
      <c r="A1221" s="53" t="n"/>
      <c r="B1221" s="53" t="n"/>
      <c r="C1221" s="53" t="n"/>
    </row>
    <row r="1222">
      <c r="A1222" s="53" t="n"/>
      <c r="B1222" s="53" t="n"/>
      <c r="C1222" s="53" t="n"/>
    </row>
    <row r="1223">
      <c r="A1223" s="53" t="n"/>
      <c r="B1223" s="53" t="n"/>
      <c r="C1223" s="53" t="n"/>
    </row>
  </sheetData>
  <mergeCells count="7">
    <mergeCell ref="A1:C1"/>
    <mergeCell ref="A57:B57"/>
    <mergeCell ref="A23:B23"/>
    <mergeCell ref="A40:B40"/>
    <mergeCell ref="C3:D3"/>
    <mergeCell ref="A6:B6"/>
    <mergeCell ref="C4:D4"/>
  </mergeCells>
  <pageMargins left="1" right="1" top="1" bottom="1" header="0.5" footer="0.5"/>
  <pageSetup orientation="portrait" scale="43" fitToHeight="0"/>
  <headerFooter>
    <oddHeader>&amp;L&amp;G</oddHeader>
    <oddFooter>&amp;R&amp;K000000&amp;P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69"/>
  <sheetViews>
    <sheetView zoomScale="80" zoomScaleNormal="80" zoomScalePageLayoutView="80" workbookViewId="0">
      <selection activeCell="A2" sqref="A2:C2"/>
    </sheetView>
  </sheetViews>
  <sheetFormatPr baseColWidth="8" defaultColWidth="13.5" defaultRowHeight="15" customHeight="1"/>
  <cols>
    <col width="55.5" customWidth="1" style="75" min="1" max="1"/>
    <col width="15.625" customWidth="1" style="5" min="2" max="2"/>
    <col width="18" customWidth="1" style="5" min="3" max="3"/>
    <col width="19" customWidth="1" style="5" min="4" max="4"/>
    <col width="14" customWidth="1" style="5" min="5" max="5"/>
    <col width="16" customWidth="1" style="5" min="6" max="6"/>
    <col width="18" customWidth="1" style="5" min="7" max="7"/>
    <col width="14.375" customWidth="1" style="5" min="8" max="8"/>
    <col width="16.5" customWidth="1" style="5" min="9" max="9"/>
    <col width="16" customWidth="1" style="5" min="10" max="10"/>
    <col width="13.5" customWidth="1" style="5" min="11" max="16384"/>
  </cols>
  <sheetData>
    <row r="1" ht="42.95" customFormat="1" customHeight="1" s="27">
      <c r="A1" s="131" t="inlineStr">
        <is>
          <t>TEMPLATE 7, Tab 2: COMPANY 1-YR BUDGET</t>
        </is>
      </c>
      <c r="D1" s="123" t="inlineStr">
        <is>
          <t>Direction: please complete the company budget and indicate amounts received, held or expended in the appropriate currency. Do not convert each line into each currency.</t>
        </is>
      </c>
      <c r="E1" s="142" t="n"/>
      <c r="F1" s="142" t="n"/>
      <c r="G1" s="142" t="n"/>
      <c r="H1" s="142" t="n"/>
      <c r="I1" s="142" t="n"/>
      <c r="J1" s="142" t="n"/>
    </row>
    <row r="2" ht="15.75" customHeight="1">
      <c r="A2" s="132" t="inlineStr">
        <is>
          <t>Budget Period: 12-month period beginning at contract execution (subject to UNICEF award)</t>
        </is>
      </c>
      <c r="B2" s="142" t="n"/>
      <c r="C2" s="142" t="n"/>
      <c r="D2" s="6" t="n"/>
    </row>
    <row r="3" ht="17.1" customHeight="1">
      <c r="A3" s="79" t="inlineStr">
        <is>
          <t>Company Name: Cartagena On Chain</t>
        </is>
      </c>
      <c r="B3" s="143" t="inlineStr">
        <is>
          <t>USD</t>
        </is>
      </c>
      <c r="C3" s="144" t="n"/>
      <c r="D3" s="139" t="n"/>
      <c r="E3" s="143" t="inlineStr">
        <is>
          <t>ETH</t>
        </is>
      </c>
      <c r="F3" s="144" t="n"/>
      <c r="G3" s="139" t="n"/>
    </row>
    <row r="4" ht="44.25" customFormat="1" customHeight="1" s="27">
      <c r="A4" s="66" t="n"/>
      <c r="B4" s="29" t="inlineStr">
        <is>
          <t>Year 1:  Month 1- Month 6</t>
        </is>
      </c>
      <c r="C4" s="29" t="inlineStr">
        <is>
          <t>Year 1: Month7- Month 12</t>
        </is>
      </c>
      <c r="D4" s="88" t="inlineStr">
        <is>
          <t>TOTAL BUDGET AMOUNT IN USD</t>
        </is>
      </c>
      <c r="E4" s="29" t="inlineStr">
        <is>
          <t>Year 1:  Month 1- Month 6</t>
        </is>
      </c>
      <c r="F4" s="29" t="inlineStr">
        <is>
          <t>Year 1: Month7- Month 12</t>
        </is>
      </c>
      <c r="G4" s="88" t="inlineStr">
        <is>
          <t>TOTAL BUDGET AMOUNT IN ETH</t>
        </is>
      </c>
    </row>
    <row r="5" ht="15.6" customHeight="1">
      <c r="A5" s="33" t="inlineStr">
        <is>
          <t>Expected Income</t>
        </is>
      </c>
      <c r="B5" s="17" t="n"/>
      <c r="C5" s="17" t="n"/>
      <c r="D5" s="89" t="n"/>
      <c r="E5" s="17" t="n"/>
      <c r="F5" s="17" t="n"/>
      <c r="G5" s="89" t="n"/>
    </row>
    <row r="6" ht="31.15" customFormat="1" customHeight="1" s="27">
      <c r="A6" s="30" t="inlineStr">
        <is>
          <t>Operating Income [List detailed budget items in rows below. See example sheet for suggestions]</t>
        </is>
      </c>
      <c r="B6" s="31">
        <f>SUM(B7:B15)</f>
        <v/>
      </c>
      <c r="C6" s="31">
        <f>SUM(C7:C15)</f>
        <v/>
      </c>
      <c r="D6" s="90">
        <f>SUM(B6:C6)</f>
        <v/>
      </c>
      <c r="E6" s="80">
        <f>SUM(E7:E15)</f>
        <v/>
      </c>
      <c r="F6" s="80">
        <f>SUM(F7:F15)</f>
        <v/>
      </c>
      <c r="G6" s="96">
        <f>SUM(E6:F6)</f>
        <v/>
      </c>
    </row>
    <row r="7" ht="15.6" customHeight="1">
      <c r="A7" s="67" t="inlineStr">
        <is>
          <t>No current operating revenue from the Galeon project</t>
        </is>
      </c>
      <c r="B7" s="19" t="n">
        <v>0</v>
      </c>
      <c r="C7" s="19" t="n">
        <v>0</v>
      </c>
      <c r="D7" s="91" t="n"/>
      <c r="E7" s="81" t="n"/>
      <c r="F7" s="81" t="n"/>
      <c r="G7" s="97" t="n"/>
    </row>
    <row r="8" ht="15.6" customHeight="1">
      <c r="A8" s="67" t="n"/>
      <c r="B8" s="19" t="n"/>
      <c r="C8" s="19" t="n"/>
      <c r="D8" s="91" t="n"/>
      <c r="E8" s="81" t="n"/>
      <c r="F8" s="81" t="n"/>
      <c r="G8" s="97" t="n"/>
    </row>
    <row r="9" ht="15.6" customHeight="1">
      <c r="A9" s="67" t="n"/>
      <c r="B9" s="19" t="n"/>
      <c r="C9" s="19" t="n"/>
      <c r="D9" s="91" t="n"/>
      <c r="E9" s="81" t="n"/>
      <c r="F9" s="81" t="n"/>
      <c r="G9" s="97" t="n"/>
    </row>
    <row r="10" ht="15.6" customHeight="1">
      <c r="A10" s="67" t="n"/>
      <c r="B10" s="19" t="n"/>
      <c r="C10" s="19" t="n"/>
      <c r="D10" s="91" t="n"/>
      <c r="E10" s="81" t="n"/>
      <c r="F10" s="81" t="n"/>
      <c r="G10" s="97" t="n"/>
    </row>
    <row r="11" ht="15.6" customHeight="1">
      <c r="A11" s="67" t="n"/>
      <c r="B11" s="19" t="n"/>
      <c r="C11" s="19" t="n"/>
      <c r="D11" s="91" t="n"/>
      <c r="E11" s="81" t="n"/>
      <c r="F11" s="81" t="n"/>
      <c r="G11" s="97" t="n"/>
    </row>
    <row r="12" ht="15.6" customHeight="1">
      <c r="A12" s="67" t="n"/>
      <c r="B12" s="19" t="n"/>
      <c r="C12" s="19" t="n"/>
      <c r="D12" s="91" t="n"/>
      <c r="E12" s="81" t="n"/>
      <c r="F12" s="81" t="n"/>
      <c r="G12" s="97" t="n"/>
    </row>
    <row r="13" ht="15.6" customHeight="1">
      <c r="A13" s="67" t="n"/>
      <c r="B13" s="19" t="n"/>
      <c r="C13" s="19" t="n"/>
      <c r="D13" s="91" t="n"/>
      <c r="E13" s="81" t="n"/>
      <c r="F13" s="81" t="n"/>
      <c r="G13" s="97" t="n"/>
    </row>
    <row r="14" ht="15.6" customHeight="1">
      <c r="A14" s="68" t="n"/>
      <c r="B14" s="19" t="n"/>
      <c r="C14" s="19" t="n"/>
      <c r="D14" s="91" t="n"/>
      <c r="E14" s="81" t="n"/>
      <c r="F14" s="81" t="n"/>
      <c r="G14" s="97" t="n"/>
    </row>
    <row r="15" ht="15.6" customHeight="1">
      <c r="A15" s="68" t="n"/>
      <c r="B15" s="19" t="n"/>
      <c r="C15" s="19" t="n"/>
      <c r="D15" s="91" t="n"/>
      <c r="E15" s="81" t="n"/>
      <c r="F15" s="81" t="n"/>
      <c r="G15" s="97" t="n"/>
    </row>
    <row r="16" ht="31.15" customFormat="1" customHeight="1" s="27">
      <c r="A16" s="30" t="inlineStr">
        <is>
          <t>Non-Operating Income [List detailed budget items in rows below (see example sheet for suggestions).</t>
        </is>
      </c>
      <c r="B16" s="31">
        <f>SUM(B17:B26)</f>
        <v/>
      </c>
      <c r="C16" s="31">
        <f>SUM(C17:C26)</f>
        <v/>
      </c>
      <c r="D16" s="90">
        <f>SUM(B16:C16)</f>
        <v/>
      </c>
      <c r="E16" s="80">
        <f>SUM(E17:E26)</f>
        <v/>
      </c>
      <c r="F16" s="80">
        <f>SUM(F17:F26)</f>
        <v/>
      </c>
      <c r="G16" s="96">
        <f>SUM(E16:F16)</f>
        <v/>
      </c>
    </row>
    <row r="17" ht="15.6" customHeight="1">
      <c r="A17" s="67" t="inlineStr">
        <is>
          <t>UNICEF Innovation Fund grant (if awarded)</t>
        </is>
      </c>
      <c r="B17" s="19" t="n">
        <v>73500</v>
      </c>
      <c r="C17" s="19" t="n">
        <v>26500</v>
      </c>
      <c r="D17" s="91" t="n"/>
      <c r="E17" s="81" t="n"/>
      <c r="F17" s="81" t="n"/>
      <c r="G17" s="97" t="n"/>
    </row>
    <row r="18" ht="15.6" customHeight="1">
      <c r="A18" s="67" t="n"/>
      <c r="B18" s="19" t="n"/>
      <c r="C18" s="19" t="n"/>
      <c r="D18" s="91" t="n"/>
      <c r="E18" s="81" t="n"/>
      <c r="F18" s="81" t="n"/>
      <c r="G18" s="97" t="n"/>
    </row>
    <row r="19" ht="15.6" customHeight="1">
      <c r="A19" s="67" t="n"/>
      <c r="B19" s="19" t="n"/>
      <c r="C19" s="19" t="n"/>
      <c r="D19" s="91" t="n"/>
      <c r="E19" s="81" t="n"/>
      <c r="F19" s="81" t="n"/>
      <c r="G19" s="97" t="n"/>
    </row>
    <row r="20" ht="15.6" customHeight="1">
      <c r="A20" s="67" t="n"/>
      <c r="B20" s="19" t="n"/>
      <c r="C20" s="19" t="n"/>
      <c r="D20" s="91" t="n"/>
      <c r="E20" s="81" t="n"/>
      <c r="F20" s="81" t="n"/>
      <c r="G20" s="97" t="n"/>
    </row>
    <row r="21" ht="15.6" customHeight="1">
      <c r="A21" s="67" t="n"/>
      <c r="B21" s="19" t="n"/>
      <c r="C21" s="19" t="n"/>
      <c r="D21" s="91" t="n"/>
      <c r="E21" s="81" t="n"/>
      <c r="F21" s="81" t="n"/>
      <c r="G21" s="97" t="n"/>
    </row>
    <row r="22" ht="15.6" customHeight="1">
      <c r="A22" s="67" t="n"/>
      <c r="B22" s="19" t="n"/>
      <c r="C22" s="19" t="n"/>
      <c r="D22" s="91" t="n"/>
      <c r="E22" s="81" t="n"/>
      <c r="F22" s="81" t="n"/>
      <c r="G22" s="97" t="n"/>
    </row>
    <row r="23" ht="15.6" customHeight="1">
      <c r="A23" s="68" t="n"/>
      <c r="B23" s="19" t="n"/>
      <c r="C23" s="19" t="n"/>
      <c r="D23" s="91" t="n"/>
      <c r="E23" s="81" t="n"/>
      <c r="F23" s="81" t="n"/>
      <c r="G23" s="97" t="n"/>
    </row>
    <row r="24" ht="15.6" customHeight="1">
      <c r="A24" s="68" t="n"/>
      <c r="B24" s="19" t="n"/>
      <c r="C24" s="19" t="n"/>
      <c r="D24" s="91" t="n"/>
      <c r="E24" s="81" t="n"/>
      <c r="F24" s="81" t="n"/>
      <c r="G24" s="97" t="n"/>
    </row>
    <row r="25" ht="15.6" customHeight="1">
      <c r="A25" s="68" t="n"/>
      <c r="B25" s="19" t="n"/>
      <c r="C25" s="19" t="n"/>
      <c r="D25" s="91" t="n"/>
      <c r="E25" s="81" t="n"/>
      <c r="F25" s="81" t="n"/>
      <c r="G25" s="97" t="n"/>
    </row>
    <row r="26" ht="15.6" customHeight="1">
      <c r="A26" s="68" t="n"/>
      <c r="B26" s="19" t="n"/>
      <c r="C26" s="19" t="n"/>
      <c r="D26" s="91" t="n"/>
      <c r="E26" s="81" t="n"/>
      <c r="F26" s="81" t="n"/>
      <c r="G26" s="97" t="n"/>
    </row>
    <row r="27" ht="15.6" customFormat="1" customHeight="1" s="27">
      <c r="A27" s="69" t="inlineStr">
        <is>
          <t>TOTAL INCOME</t>
        </is>
      </c>
      <c r="B27" s="32">
        <f>B6+B16</f>
        <v/>
      </c>
      <c r="C27" s="32">
        <f>C6+C16</f>
        <v/>
      </c>
      <c r="D27" s="32">
        <f>SUM(B27:C27)</f>
        <v/>
      </c>
      <c r="E27" s="82">
        <f>E6+E16</f>
        <v/>
      </c>
      <c r="F27" s="82">
        <f>F6+F16</f>
        <v/>
      </c>
      <c r="G27" s="82">
        <f>SUM(E27:F27)</f>
        <v/>
      </c>
    </row>
    <row r="28" ht="15.6" customFormat="1" customHeight="1" s="8">
      <c r="A28" s="70" t="n"/>
      <c r="B28" s="20" t="n"/>
      <c r="C28" s="20" t="n"/>
      <c r="D28" s="92" t="n"/>
      <c r="E28" s="83" t="n"/>
      <c r="F28" s="83" t="n"/>
      <c r="G28" s="98" t="n"/>
    </row>
    <row r="29" ht="31.15" customFormat="1" customHeight="1" s="27">
      <c r="A29" s="33" t="inlineStr">
        <is>
          <t>Salaries &amp; Wages (engineering + operational team)</t>
        </is>
      </c>
      <c r="B29" s="28" t="n">
        <v>48000</v>
      </c>
      <c r="C29" s="28" t="n">
        <v>23500</v>
      </c>
      <c r="D29" s="93" t="n"/>
      <c r="E29" s="84" t="n"/>
      <c r="F29" s="84" t="n"/>
      <c r="G29" s="99" t="n"/>
    </row>
    <row r="30" ht="15.6" customHeight="1">
      <c r="A30" s="67" t="inlineStr">
        <is>
          <t>General &amp; Administration (legal counsel, infrastructure)</t>
        </is>
      </c>
      <c r="B30" s="19" t="n">
        <v>5500</v>
      </c>
      <c r="C30" s="19" t="n">
        <v>3000</v>
      </c>
      <c r="D30" s="91" t="n"/>
      <c r="E30" s="81" t="n"/>
      <c r="F30" s="81" t="n"/>
      <c r="G30" s="97" t="n"/>
    </row>
    <row r="31" ht="15.6" customHeight="1">
      <c r="A31" s="67" t="inlineStr">
        <is>
          <t>External security delta-audit (Galeon-specific contracts, ASP changes, UUPS, stealth library)</t>
        </is>
      </c>
      <c r="B31" s="19" t="n">
        <v>20000</v>
      </c>
      <c r="C31" s="19" t="n">
        <v>0</v>
      </c>
      <c r="D31" s="91" t="n"/>
      <c r="E31" s="81" t="n"/>
      <c r="F31" s="81" t="n"/>
      <c r="G31" s="97" t="n"/>
    </row>
    <row r="32" ht="15.6" customHeight="1">
      <c r="A32" s="67" t="n"/>
      <c r="B32" s="19" t="n"/>
      <c r="C32" s="19" t="n"/>
      <c r="D32" s="91" t="n"/>
      <c r="E32" s="81" t="n"/>
      <c r="F32" s="81" t="n"/>
      <c r="G32" s="97" t="n"/>
    </row>
    <row r="33" ht="15.6" customHeight="1">
      <c r="A33" s="67" t="n"/>
      <c r="B33" s="19" t="n"/>
      <c r="C33" s="19" t="n"/>
      <c r="D33" s="91" t="n"/>
      <c r="E33" s="81" t="n"/>
      <c r="F33" s="81" t="n"/>
      <c r="G33" s="97" t="n"/>
    </row>
    <row r="34" ht="15.6" customHeight="1">
      <c r="A34" s="67" t="n"/>
      <c r="B34" s="19" t="n"/>
      <c r="C34" s="19" t="n"/>
      <c r="D34" s="91" t="n"/>
      <c r="E34" s="81" t="n"/>
      <c r="F34" s="81" t="n"/>
      <c r="G34" s="97" t="n"/>
    </row>
    <row r="35" ht="15.6" customHeight="1">
      <c r="A35" s="67" t="n"/>
      <c r="B35" s="19" t="n"/>
      <c r="C35" s="19" t="n"/>
      <c r="D35" s="91" t="n"/>
      <c r="E35" s="81" t="n"/>
      <c r="F35" s="81" t="n"/>
      <c r="G35" s="97" t="n"/>
    </row>
    <row r="36" ht="15.6" customHeight="1">
      <c r="A36" s="68" t="n"/>
      <c r="B36" s="19" t="n"/>
      <c r="C36" s="19" t="n"/>
      <c r="D36" s="91" t="n"/>
      <c r="E36" s="81" t="n"/>
      <c r="F36" s="81" t="n"/>
      <c r="G36" s="97" t="n"/>
    </row>
    <row r="37" ht="15.6" customHeight="1">
      <c r="A37" s="68" t="n"/>
      <c r="B37" s="19" t="n"/>
      <c r="C37" s="19" t="n"/>
      <c r="D37" s="91" t="n"/>
      <c r="E37" s="81" t="n"/>
      <c r="F37" s="81" t="n"/>
      <c r="G37" s="97" t="n"/>
    </row>
    <row r="38" ht="15.6" customHeight="1">
      <c r="A38" s="68" t="n"/>
      <c r="B38" s="19" t="n"/>
      <c r="C38" s="19" t="n"/>
      <c r="D38" s="91" t="n"/>
      <c r="E38" s="81" t="n"/>
      <c r="F38" s="81" t="n"/>
      <c r="G38" s="97" t="n"/>
    </row>
    <row r="39" ht="15.6" customFormat="1" customHeight="1" s="27">
      <c r="A39" s="69" t="inlineStr">
        <is>
          <t>TOTAL EXPENSE</t>
        </is>
      </c>
      <c r="B39" s="32">
        <f>SUM(B29:B38)</f>
        <v/>
      </c>
      <c r="C39" s="32">
        <f>SUM(C29:C38)</f>
        <v/>
      </c>
      <c r="D39" s="32">
        <f>SUM(B39:C39)</f>
        <v/>
      </c>
      <c r="E39" s="82">
        <f>SUM(E29:E38)</f>
        <v/>
      </c>
      <c r="F39" s="82">
        <f>SUM(F29:F38)</f>
        <v/>
      </c>
      <c r="G39" s="82">
        <f>SUM(E39:F39)</f>
        <v/>
      </c>
    </row>
    <row r="40" ht="15.6" customFormat="1" customHeight="1" s="8">
      <c r="A40" s="71" t="n"/>
      <c r="B40" s="18" t="n"/>
      <c r="C40" s="18" t="n"/>
      <c r="D40" s="94" t="n"/>
      <c r="E40" s="85" t="n"/>
      <c r="F40" s="85" t="n"/>
      <c r="G40" s="100" t="n"/>
    </row>
    <row r="41" ht="14.45" customFormat="1" customHeight="1" s="26">
      <c r="A41" s="70" t="inlineStr">
        <is>
          <t>Net Income Before Tax</t>
        </is>
      </c>
      <c r="B41" s="18">
        <f>B27-B39</f>
        <v/>
      </c>
      <c r="C41" s="18">
        <f>C27-C39</f>
        <v/>
      </c>
      <c r="D41" s="94">
        <f>D27-D39</f>
        <v/>
      </c>
      <c r="E41" s="85">
        <f>E27-E39</f>
        <v/>
      </c>
      <c r="F41" s="85">
        <f>F27-F39</f>
        <v/>
      </c>
      <c r="G41" s="100">
        <f>G27-G39</f>
        <v/>
      </c>
    </row>
    <row r="42" ht="14.45" customFormat="1" customHeight="1" s="26">
      <c r="A42" s="70" t="inlineStr">
        <is>
          <t>Income Tax Expense</t>
        </is>
      </c>
      <c r="B42" s="17" t="n">
        <v>0</v>
      </c>
      <c r="C42" s="17" t="n">
        <v>0</v>
      </c>
      <c r="D42" s="89" t="n"/>
      <c r="E42" s="86" t="n"/>
      <c r="F42" s="86" t="n"/>
      <c r="G42" s="101" t="n"/>
    </row>
    <row r="43" ht="15.6" customFormat="1" customHeight="1" s="8">
      <c r="A43" s="72" t="n"/>
      <c r="B43" s="7" t="n"/>
      <c r="C43" s="7" t="n"/>
      <c r="D43" s="95" t="n"/>
      <c r="E43" s="87" t="n"/>
      <c r="F43" s="87" t="n"/>
      <c r="G43" s="102" t="n"/>
    </row>
    <row r="44" ht="15.6" customFormat="1" customHeight="1" s="27">
      <c r="A44" s="69" t="inlineStr">
        <is>
          <t>NET INCOME</t>
        </is>
      </c>
      <c r="B44" s="32">
        <f>B41-B42</f>
        <v/>
      </c>
      <c r="C44" s="32">
        <f>C41-C42</f>
        <v/>
      </c>
      <c r="D44" s="32">
        <f>SUM(B44:C44)</f>
        <v/>
      </c>
      <c r="E44" s="82">
        <f>E41-E42</f>
        <v/>
      </c>
      <c r="F44" s="82">
        <f>F41-F42</f>
        <v/>
      </c>
      <c r="G44" s="82">
        <f>SUM(E44:F44)</f>
        <v/>
      </c>
    </row>
    <row r="45" ht="15.6" customHeight="1">
      <c r="A45" s="73" t="n"/>
      <c r="B45" s="6" t="n"/>
      <c r="C45" s="6" t="n"/>
      <c r="D45" s="6" t="n"/>
    </row>
    <row r="46" ht="15.6" customHeight="1">
      <c r="A46" s="73" t="n"/>
      <c r="B46" s="6" t="n"/>
      <c r="C46" s="6" t="n"/>
      <c r="D46" s="6" t="n"/>
    </row>
    <row r="47" ht="15.6" customHeight="1">
      <c r="A47" s="73" t="n"/>
      <c r="B47" s="6" t="n"/>
      <c r="C47" s="6" t="n"/>
      <c r="D47" s="6" t="n"/>
    </row>
    <row r="48" ht="15.6" customHeight="1">
      <c r="A48" s="73" t="n"/>
      <c r="B48" s="6" t="n"/>
      <c r="C48" s="6" t="n"/>
      <c r="D48" s="6" t="n"/>
    </row>
    <row r="49" ht="15.6" customHeight="1">
      <c r="A49" s="73" t="n"/>
      <c r="B49" s="6" t="n"/>
      <c r="C49" s="6" t="n"/>
      <c r="D49" s="6" t="n"/>
    </row>
    <row r="50" ht="15.6" customHeight="1">
      <c r="A50" s="73" t="n"/>
      <c r="B50" s="6" t="n"/>
      <c r="C50" s="6" t="n"/>
      <c r="D50" s="6" t="n"/>
    </row>
    <row r="51" ht="15.6" customHeight="1">
      <c r="A51" s="73" t="n"/>
      <c r="B51" s="6" t="n"/>
      <c r="C51" s="6" t="n"/>
      <c r="D51" s="6" t="n"/>
    </row>
    <row r="52" ht="15.6" customHeight="1">
      <c r="A52" s="74" t="n"/>
      <c r="B52" s="6" t="n"/>
      <c r="C52" s="6" t="n"/>
      <c r="D52" s="6" t="n"/>
    </row>
    <row r="53" ht="15.6" customHeight="1">
      <c r="A53" s="73" t="n"/>
      <c r="B53" s="6" t="n"/>
      <c r="C53" s="6" t="n"/>
      <c r="D53" s="6" t="n"/>
    </row>
    <row r="54" ht="15.6" customHeight="1">
      <c r="A54" s="73" t="n"/>
      <c r="B54" s="6" t="n"/>
      <c r="C54" s="6" t="n"/>
      <c r="D54" s="6" t="n"/>
    </row>
    <row r="55" ht="15.6" customHeight="1">
      <c r="A55" s="73" t="n"/>
      <c r="B55" s="6" t="n"/>
      <c r="C55" s="6" t="n"/>
      <c r="D55" s="6" t="n"/>
    </row>
    <row r="56" ht="15.6" customHeight="1">
      <c r="A56" s="73" t="n"/>
      <c r="B56" s="6" t="n"/>
      <c r="C56" s="6" t="n"/>
      <c r="D56" s="6" t="n"/>
    </row>
    <row r="57" ht="15.6" customHeight="1">
      <c r="A57" s="73" t="n"/>
      <c r="B57" s="6" t="n"/>
      <c r="C57" s="6" t="n"/>
      <c r="D57" s="6" t="n"/>
    </row>
    <row r="58" ht="15.6" customHeight="1">
      <c r="A58" s="73" t="n"/>
      <c r="B58" s="6" t="n"/>
      <c r="C58" s="6" t="n"/>
      <c r="D58" s="6" t="n"/>
    </row>
    <row r="59" ht="15.6" customHeight="1">
      <c r="A59" s="73" t="n"/>
      <c r="B59" s="6" t="n"/>
      <c r="C59" s="6" t="n"/>
      <c r="D59" s="6" t="n"/>
    </row>
    <row r="60" ht="15.6" customHeight="1">
      <c r="A60" s="73" t="n"/>
      <c r="B60" s="6" t="n"/>
      <c r="C60" s="6" t="n"/>
      <c r="D60" s="6" t="n"/>
    </row>
    <row r="61" ht="15.6" customHeight="1">
      <c r="A61" s="73" t="n"/>
      <c r="B61" s="6" t="n"/>
      <c r="C61" s="6" t="n"/>
      <c r="D61" s="6" t="n"/>
    </row>
    <row r="62" ht="15.6" customHeight="1">
      <c r="A62" s="73" t="n"/>
      <c r="B62" s="6" t="n"/>
      <c r="C62" s="6" t="n"/>
      <c r="D62" s="6" t="n"/>
    </row>
    <row r="63" ht="15.6" customHeight="1">
      <c r="A63" s="73" t="n"/>
      <c r="B63" s="6" t="n"/>
      <c r="C63" s="6" t="n"/>
      <c r="D63" s="6" t="n"/>
    </row>
    <row r="64" ht="15.6" customHeight="1">
      <c r="A64" s="73" t="n"/>
      <c r="B64" s="6" t="n"/>
      <c r="C64" s="6" t="n"/>
      <c r="D64" s="6" t="n"/>
    </row>
    <row r="65" ht="15.6" customHeight="1">
      <c r="A65" s="73" t="n"/>
      <c r="B65" s="6" t="n"/>
      <c r="C65" s="6" t="n"/>
      <c r="D65" s="6" t="n"/>
    </row>
    <row r="66" ht="15.6" customHeight="1">
      <c r="A66" s="73" t="n"/>
      <c r="B66" s="6" t="n"/>
      <c r="C66" s="6" t="n"/>
      <c r="D66" s="6" t="n"/>
    </row>
    <row r="67" ht="15.6" customHeight="1">
      <c r="A67" s="73" t="n"/>
      <c r="B67" s="6" t="n"/>
      <c r="C67" s="6" t="n"/>
      <c r="D67" s="6" t="n"/>
    </row>
    <row r="68" ht="15.6" customHeight="1">
      <c r="A68" s="73" t="n"/>
      <c r="B68" s="6" t="n"/>
      <c r="C68" s="6" t="n"/>
      <c r="D68" s="6" t="n"/>
    </row>
    <row r="69" ht="15.6" customHeight="1">
      <c r="A69" s="73" t="n"/>
      <c r="B69" s="6" t="n"/>
      <c r="C69" s="6" t="n"/>
      <c r="D69" s="6" t="n"/>
    </row>
  </sheetData>
  <mergeCells count="5">
    <mergeCell ref="B3:D3"/>
    <mergeCell ref="A1:C1"/>
    <mergeCell ref="E3:G3"/>
    <mergeCell ref="D1:J1"/>
    <mergeCell ref="A2:C2"/>
  </mergeCells>
  <pageMargins left="0.7" right="0.7" top="1" bottom="0.75" header="0.3" footer="0.3"/>
  <pageSetup orientation="portrait" scale="89"/>
  <headerFooter>
    <oddHeader>&amp;L&amp;G</oddHeader>
    <oddFooter>&amp;CRFPS-NYH-2017-502578&amp;R&amp;P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T37"/>
  <sheetViews>
    <sheetView zoomScale="90" zoomScaleNormal="90" zoomScalePageLayoutView="90" workbookViewId="0">
      <selection activeCell="A1" sqref="A1:F1"/>
    </sheetView>
  </sheetViews>
  <sheetFormatPr baseColWidth="8" defaultColWidth="13.5" defaultRowHeight="15" customHeight="1"/>
  <cols>
    <col width="26" customWidth="1" style="41" min="1" max="1"/>
    <col width="10.5" customWidth="1" style="41" min="2" max="3"/>
    <col width="15.375" customWidth="1" style="41" min="4" max="4"/>
    <col width="10.5" customWidth="1" style="41" min="5" max="11"/>
    <col width="14.5" customWidth="1" style="41" min="12" max="12"/>
    <col width="10.5" customWidth="1" style="41" min="13" max="18"/>
    <col width="15.125" customWidth="1" style="41" min="19" max="19"/>
    <col width="14.625" customWidth="1" style="41" min="20" max="20"/>
    <col width="10.5" customWidth="1" style="41" min="21" max="24"/>
    <col width="13.5" customWidth="1" style="41" min="25" max="16384"/>
  </cols>
  <sheetData>
    <row r="1" ht="39" customHeight="1">
      <c r="A1" s="124" t="inlineStr">
        <is>
          <t>BUDGET FIGURES GIVEN ARE ONLY ILLUSTRATIVE AND NOT INDICATIVE OF INFORMATION OR TRENDS THAT WILL BE ASSESSED FAVOURABLY DURING SCORING.</t>
        </is>
      </c>
      <c r="G1" s="13" t="n"/>
      <c r="H1" s="13" t="n"/>
      <c r="I1" s="13" t="n"/>
    </row>
    <row r="2" ht="15.6" customHeight="1">
      <c r="A2" s="124" t="n"/>
      <c r="B2" s="124" t="n"/>
      <c r="C2" s="124" t="n"/>
      <c r="D2" s="124" t="n"/>
      <c r="E2" s="124" t="n"/>
      <c r="F2" s="124" t="n"/>
      <c r="G2" s="13" t="n"/>
      <c r="H2" s="13" t="n"/>
      <c r="I2" s="13" t="n"/>
    </row>
    <row r="3" ht="15.6" customHeight="1" thickBot="1">
      <c r="A3" s="134" t="inlineStr">
        <is>
          <t>Budget Period: XXXX 2020 to XXXX 2020</t>
        </is>
      </c>
    </row>
    <row r="4" ht="49.5" customHeight="1">
      <c r="A4" s="56" t="n"/>
      <c r="B4" s="14" t="inlineStr">
        <is>
          <t>Year 1:  Month 1- Month 6</t>
        </is>
      </c>
      <c r="C4" s="14" t="inlineStr">
        <is>
          <t>Year 1: Month7- Month 12</t>
        </is>
      </c>
      <c r="D4" s="15" t="inlineStr">
        <is>
          <t>TOTAL BUDGET AMOUNT</t>
        </is>
      </c>
      <c r="E4" s="10" t="n"/>
      <c r="F4" s="10" t="n"/>
      <c r="G4" s="10" t="n"/>
      <c r="H4" s="10" t="n"/>
      <c r="I4" s="10" t="n"/>
      <c r="J4" s="10" t="n"/>
      <c r="K4" s="10" t="n"/>
      <c r="L4" s="10" t="n"/>
      <c r="M4" s="10" t="n"/>
      <c r="N4" s="10" t="n"/>
      <c r="O4" s="10" t="n"/>
      <c r="P4" s="10" t="n"/>
      <c r="Q4" s="10" t="n"/>
      <c r="R4" s="10" t="n"/>
      <c r="S4" s="9" t="n"/>
      <c r="T4" s="9" t="n"/>
    </row>
    <row r="5" ht="15.6" customHeight="1">
      <c r="A5" s="145" t="inlineStr">
        <is>
          <t>Expected Income</t>
        </is>
      </c>
      <c r="B5" s="144" t="n"/>
      <c r="C5" s="144" t="n"/>
      <c r="D5" s="146" t="n"/>
    </row>
    <row r="6" ht="15.6" customHeight="1">
      <c r="A6" s="21" t="inlineStr">
        <is>
          <t>Operating Income</t>
        </is>
      </c>
      <c r="B6" s="57">
        <f>B7+B8</f>
        <v/>
      </c>
      <c r="C6" s="57">
        <f>C7+C8</f>
        <v/>
      </c>
      <c r="D6" s="58">
        <f>SUM(B6:C6)</f>
        <v/>
      </c>
    </row>
    <row r="7" ht="14.45" customFormat="1" customHeight="1" s="37">
      <c r="A7" s="34" t="inlineStr">
        <is>
          <t>Revenue from Sales</t>
        </is>
      </c>
      <c r="B7" s="35" t="n">
        <v>5000</v>
      </c>
      <c r="C7" s="35" t="n">
        <v>7500</v>
      </c>
      <c r="D7" s="36" t="n"/>
    </row>
    <row r="8" ht="14.45" customFormat="1" customHeight="1" s="37">
      <c r="A8" s="34" t="inlineStr">
        <is>
          <t>Other</t>
        </is>
      </c>
      <c r="B8" s="38" t="n"/>
      <c r="C8" s="38" t="n"/>
      <c r="D8" s="36" t="n"/>
    </row>
    <row r="9" ht="15.6" customHeight="1">
      <c r="A9" s="59" t="n"/>
      <c r="B9" s="57" t="n"/>
      <c r="C9" s="57" t="n"/>
      <c r="D9" s="58" t="n"/>
    </row>
    <row r="10" ht="15.6" customHeight="1">
      <c r="A10" s="21" t="inlineStr">
        <is>
          <t>Non-Operating Income</t>
        </is>
      </c>
      <c r="B10" s="57">
        <f>B11+B12+B13+B14</f>
        <v/>
      </c>
      <c r="C10" s="57">
        <f>C11+C12+C13+C14</f>
        <v/>
      </c>
      <c r="D10" s="58">
        <f>SUM(B10:C10)</f>
        <v/>
      </c>
    </row>
    <row r="11" ht="14.45" customFormat="1" customHeight="1" s="37">
      <c r="A11" s="34" t="inlineStr">
        <is>
          <t>Capital Contribution</t>
        </is>
      </c>
      <c r="B11" s="35" t="n">
        <v>20000</v>
      </c>
      <c r="C11" s="35" t="n">
        <v>20000</v>
      </c>
      <c r="D11" s="36" t="n"/>
    </row>
    <row r="12" ht="14.45" customFormat="1" customHeight="1" s="37">
      <c r="A12" s="39" t="inlineStr">
        <is>
          <t>Investment</t>
        </is>
      </c>
      <c r="B12" s="35" t="n">
        <v>45000</v>
      </c>
      <c r="C12" s="35" t="n">
        <v>45000</v>
      </c>
      <c r="D12" s="36" t="n"/>
    </row>
    <row r="13" ht="14.45" customFormat="1" customHeight="1" s="37">
      <c r="A13" s="34" t="inlineStr">
        <is>
          <t>Donations</t>
        </is>
      </c>
      <c r="B13" s="35" t="n">
        <v>0</v>
      </c>
      <c r="C13" s="35" t="n">
        <v>0</v>
      </c>
      <c r="D13" s="36" t="n"/>
    </row>
    <row r="14" ht="14.45" customFormat="1" customHeight="1" s="37">
      <c r="A14" s="34" t="inlineStr">
        <is>
          <t>Other</t>
        </is>
      </c>
      <c r="B14" s="38" t="n"/>
      <c r="C14" s="38" t="n"/>
      <c r="D14" s="36" t="n"/>
    </row>
    <row r="15" ht="15.6" customHeight="1">
      <c r="A15" s="59" t="n"/>
      <c r="B15" s="57" t="n"/>
      <c r="C15" s="57" t="n"/>
      <c r="D15" s="58" t="n"/>
    </row>
    <row r="16" ht="15.6" customHeight="1">
      <c r="A16" s="22" t="inlineStr">
        <is>
          <t>TOTAL INCOME</t>
        </is>
      </c>
      <c r="B16" s="32">
        <f>B6+B10</f>
        <v/>
      </c>
      <c r="C16" s="32">
        <f>C6+C10</f>
        <v/>
      </c>
      <c r="D16" s="40">
        <f>SUM(B16:C16)</f>
        <v/>
      </c>
    </row>
    <row r="17" ht="15.6" customHeight="1">
      <c r="A17" s="59" t="n"/>
      <c r="B17" s="31" t="n"/>
      <c r="C17" s="31" t="n"/>
      <c r="D17" s="60" t="n"/>
    </row>
    <row r="18" ht="15.6" customHeight="1">
      <c r="A18" s="147" t="inlineStr">
        <is>
          <t>Expenses</t>
        </is>
      </c>
      <c r="B18" s="144" t="n"/>
      <c r="C18" s="144" t="n"/>
      <c r="D18" s="146" t="n"/>
    </row>
    <row r="19" ht="14.45" customFormat="1" customHeight="1" s="37">
      <c r="A19" s="34" t="inlineStr">
        <is>
          <t>Salaries &amp; Wages</t>
        </is>
      </c>
      <c r="B19" s="35" t="n">
        <v>50000</v>
      </c>
      <c r="C19" s="35" t="n">
        <v>60000</v>
      </c>
      <c r="D19" s="36" t="n"/>
    </row>
    <row r="20" ht="14.45" customFormat="1" customHeight="1" s="37">
      <c r="A20" s="34" t="inlineStr">
        <is>
          <t>General &amp; Administration</t>
        </is>
      </c>
      <c r="B20" s="35" t="n">
        <v>5000</v>
      </c>
      <c r="C20" s="35" t="n">
        <v>5000</v>
      </c>
      <c r="D20" s="36" t="n"/>
    </row>
    <row r="21" ht="14.45" customFormat="1" customHeight="1" s="37">
      <c r="A21" s="34" t="inlineStr">
        <is>
          <t>Marketing &amp; Distribution</t>
        </is>
      </c>
      <c r="B21" s="35" t="n">
        <v>1000</v>
      </c>
      <c r="C21" s="35" t="n">
        <v>1000</v>
      </c>
      <c r="D21" s="36" t="n"/>
    </row>
    <row r="22" ht="14.45" customFormat="1" customHeight="1" s="37">
      <c r="A22" s="34" t="inlineStr">
        <is>
          <t>Manufacturing</t>
        </is>
      </c>
      <c r="B22" s="35" t="n">
        <v>4500</v>
      </c>
      <c r="C22" s="35" t="n">
        <v>6000</v>
      </c>
      <c r="D22" s="36" t="n"/>
    </row>
    <row r="23" ht="14.45" customFormat="1" customHeight="1" s="37">
      <c r="A23" s="34" t="inlineStr">
        <is>
          <t>Other</t>
        </is>
      </c>
      <c r="B23" s="38" t="n"/>
      <c r="C23" s="38" t="n"/>
      <c r="D23" s="36" t="n"/>
    </row>
    <row r="24" ht="15.6" customHeight="1">
      <c r="A24" s="23" t="n"/>
      <c r="B24" s="57" t="n"/>
      <c r="C24" s="57" t="n"/>
      <c r="D24" s="58" t="n"/>
    </row>
    <row r="25" ht="15.6" customHeight="1">
      <c r="A25" s="22" t="inlineStr">
        <is>
          <t>TOTAL EXPENSE</t>
        </is>
      </c>
      <c r="B25" s="32">
        <f>SUM(B19:B23)</f>
        <v/>
      </c>
      <c r="C25" s="32">
        <f>SUM(C19:C23)</f>
        <v/>
      </c>
      <c r="D25" s="40">
        <f>SUM(B25:C25)</f>
        <v/>
      </c>
    </row>
    <row r="26" ht="14.45" customFormat="1" customHeight="1" s="37">
      <c r="A26" s="42" t="n"/>
      <c r="B26" s="43" t="n"/>
      <c r="C26" s="43" t="n"/>
      <c r="D26" s="44" t="n"/>
    </row>
    <row r="27" ht="14.45" customFormat="1" customHeight="1" s="37">
      <c r="A27" s="34" t="inlineStr">
        <is>
          <t>Net Income Before Tax</t>
        </is>
      </c>
      <c r="B27" s="38">
        <f>B16-B25</f>
        <v/>
      </c>
      <c r="C27" s="38">
        <f>C16-C25</f>
        <v/>
      </c>
      <c r="D27" s="36">
        <f>D16-D25</f>
        <v/>
      </c>
    </row>
    <row r="28" customFormat="1" s="37" thickBot="1">
      <c r="A28" s="45" t="inlineStr">
        <is>
          <t>Income Tax Expense</t>
        </is>
      </c>
      <c r="B28" s="46" t="n"/>
      <c r="C28" s="46" t="n"/>
      <c r="D28" s="47" t="n"/>
    </row>
    <row r="29" ht="14.45" customFormat="1" customHeight="1" s="37">
      <c r="A29" s="48" t="n"/>
      <c r="B29" s="48" t="n"/>
      <c r="C29" s="48" t="n"/>
      <c r="D29" s="48" t="n"/>
    </row>
    <row r="30" ht="15.6" customHeight="1">
      <c r="A30" s="24" t="inlineStr">
        <is>
          <t>NET INCOME</t>
        </is>
      </c>
      <c r="B30" s="32">
        <f>B27-B28</f>
        <v/>
      </c>
      <c r="C30" s="32">
        <f>C27-C28</f>
        <v/>
      </c>
      <c r="D30" s="32">
        <f>SUM(B30:C30)</f>
        <v/>
      </c>
    </row>
    <row r="31" ht="15.6" customHeight="1"/>
    <row r="32" ht="15.6" customHeight="1"/>
    <row r="33" ht="15.6" customHeight="1"/>
    <row r="34" ht="15.6" customHeight="1"/>
    <row r="35" ht="15.6" customHeight="1"/>
    <row r="36" ht="15.6" customHeight="1"/>
    <row r="37" ht="15.6" customHeight="1">
      <c r="A37" s="131" t="n"/>
    </row>
    <row r="38" ht="15.6" customHeight="1"/>
    <row r="39" ht="15.6" customHeight="1"/>
    <row r="40" ht="15.6" customHeight="1"/>
    <row r="41" ht="15.6" customHeight="1"/>
    <row r="42" ht="15.6" customHeight="1"/>
    <row r="43" ht="15.6" customHeight="1"/>
    <row r="44" ht="15.6" customHeight="1"/>
    <row r="45" ht="15.6" customHeight="1"/>
    <row r="46" ht="15.6" customHeight="1"/>
    <row r="47" ht="15.6" customHeight="1"/>
    <row r="48" ht="15.6" customHeight="1"/>
    <row r="49" ht="15.6" customHeight="1"/>
    <row r="50" ht="15.6" customHeight="1"/>
    <row r="51" ht="15.6" customHeight="1"/>
    <row r="52" ht="15.6" customHeight="1"/>
    <row r="53" ht="15.6" customHeight="1"/>
    <row r="54" ht="15.6" customHeight="1"/>
    <row r="55" ht="15.6" customHeight="1"/>
    <row r="56" ht="15.6" customHeight="1"/>
    <row r="57" ht="15.6" customHeight="1"/>
    <row r="58" ht="15.6" customHeight="1"/>
    <row r="59" ht="15.6" customHeight="1"/>
    <row r="60" ht="15.6" customHeight="1"/>
    <row r="61" ht="15.6" customHeight="1"/>
    <row r="62" ht="15.6" customHeight="1"/>
    <row r="63" ht="15.6" customHeight="1"/>
    <row r="64" ht="15.6" customHeight="1"/>
    <row r="65" ht="15.6" customHeight="1"/>
    <row r="66" ht="15.6" customHeight="1"/>
    <row r="67" ht="15.6" customHeight="1"/>
    <row r="68" ht="15.6" customHeight="1"/>
    <row r="69" ht="15.6" customHeight="1"/>
    <row r="70" ht="15.6" customHeight="1"/>
    <row r="71" ht="15.6" customHeight="1"/>
    <row r="72" ht="15.6" customHeight="1"/>
    <row r="73" ht="15.6" customHeight="1"/>
    <row r="74" ht="15.6" customHeight="1"/>
    <row r="75" ht="15.6" customHeight="1"/>
    <row r="76" ht="15.6" customHeight="1"/>
    <row r="77" ht="15.6" customHeight="1"/>
    <row r="78" ht="15.6" customHeight="1"/>
    <row r="79" ht="15.6" customHeight="1"/>
    <row r="80" ht="15.6" customHeight="1"/>
    <row r="81" ht="15.6" customHeight="1"/>
    <row r="82" ht="15.6" customHeight="1"/>
    <row r="83" ht="15.6" customHeight="1"/>
    <row r="84" ht="15.6" customHeight="1"/>
    <row r="85" ht="15.6" customHeight="1"/>
    <row r="86" ht="15.6" customHeight="1"/>
    <row r="87" ht="15.6" customHeight="1"/>
    <row r="88" ht="15.6" customHeight="1"/>
    <row r="89" ht="15.6" customHeight="1"/>
    <row r="90" ht="15.6" customHeight="1"/>
    <row r="91" ht="15.6" customHeight="1"/>
    <row r="92" ht="15.6" customHeight="1"/>
    <row r="93" ht="15.6" customHeight="1"/>
    <row r="94" ht="15.6" customHeight="1"/>
    <row r="95" ht="15.6" customHeight="1"/>
    <row r="96" ht="15.6" customHeight="1"/>
    <row r="97" ht="15.6" customHeight="1"/>
    <row r="98" ht="15.6" customHeight="1"/>
    <row r="99" ht="15.6" customHeight="1"/>
    <row r="100" ht="15.6" customHeight="1"/>
    <row r="101" ht="15.6" customHeight="1"/>
    <row r="102" ht="15.6" customHeight="1"/>
    <row r="103" ht="15.6" customHeight="1"/>
    <row r="104" ht="15.6" customHeight="1"/>
    <row r="105" ht="15.6" customHeight="1"/>
    <row r="106" ht="15.6" customHeight="1"/>
    <row r="107" ht="15.6" customHeight="1"/>
    <row r="108" ht="15.6" customHeight="1"/>
    <row r="109" ht="15.6" customHeight="1"/>
    <row r="110" ht="15.6" customHeight="1"/>
    <row r="111" ht="15.6" customHeight="1"/>
    <row r="112" ht="15.6" customHeight="1"/>
    <row r="113" ht="15.6" customHeight="1"/>
    <row r="114" ht="15.6" customHeight="1"/>
    <row r="115" ht="15.6" customHeight="1"/>
    <row r="116" ht="15.6"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row r="246" ht="15.6" customHeight="1"/>
    <row r="247" ht="15.6" customHeight="1"/>
    <row r="248" ht="15.6" customHeight="1"/>
    <row r="249" ht="15.6" customHeight="1"/>
    <row r="250" ht="15.6" customHeight="1"/>
    <row r="251" ht="15.6" customHeight="1"/>
    <row r="252" ht="15.6" customHeight="1"/>
    <row r="253" ht="15.6" customHeight="1"/>
    <row r="254" ht="15.6" customHeight="1"/>
    <row r="255" ht="15.6" customHeight="1"/>
    <row r="256" ht="15.6" customHeight="1"/>
    <row r="257" ht="15.6" customHeight="1"/>
    <row r="258" ht="15.6" customHeight="1"/>
    <row r="259" ht="15.6" customHeight="1"/>
    <row r="260" ht="15.6" customHeight="1"/>
    <row r="261" ht="15.6" customHeight="1"/>
    <row r="262" ht="15.6" customHeight="1"/>
    <row r="263" ht="15.6" customHeight="1"/>
    <row r="264" ht="15.6" customHeight="1"/>
    <row r="265" ht="15.6" customHeight="1"/>
    <row r="266" ht="15.6" customHeight="1"/>
    <row r="267" ht="15.6" customHeight="1"/>
    <row r="268" ht="15.6" customHeight="1"/>
    <row r="269" ht="15.6" customHeight="1"/>
    <row r="270" ht="15.6" customHeight="1"/>
    <row r="271" ht="15.6" customHeight="1"/>
    <row r="272" ht="15.6" customHeight="1"/>
    <row r="273" ht="15.6" customHeight="1"/>
    <row r="274" ht="15.6" customHeight="1"/>
    <row r="275" ht="15.6" customHeight="1"/>
    <row r="276" ht="15.6" customHeight="1"/>
    <row r="277" ht="15.6" customHeight="1"/>
    <row r="278" ht="15.6" customHeight="1"/>
    <row r="279" ht="15.6" customHeight="1"/>
    <row r="280" ht="15.6" customHeight="1"/>
    <row r="281" ht="15.6" customHeight="1"/>
    <row r="282" ht="15.6" customHeight="1"/>
    <row r="283" ht="15.6" customHeight="1"/>
    <row r="284" ht="15.6" customHeight="1"/>
    <row r="285" ht="15.6" customHeight="1"/>
    <row r="286" ht="15.6" customHeight="1"/>
    <row r="287" ht="15.6" customHeight="1"/>
    <row r="288" ht="15.6" customHeight="1"/>
    <row r="289" ht="15.6" customHeight="1"/>
    <row r="290" ht="15.6" customHeight="1"/>
    <row r="291" ht="15.6" customHeight="1"/>
    <row r="292" ht="15.6" customHeight="1"/>
    <row r="293" ht="15.6" customHeight="1"/>
    <row r="294" ht="15.6" customHeight="1"/>
    <row r="295" ht="15.6" customHeight="1"/>
    <row r="296" ht="15.6" customHeight="1"/>
    <row r="297" ht="15.6" customHeight="1"/>
    <row r="298" ht="15.6" customHeight="1"/>
    <row r="299" ht="15.6" customHeight="1"/>
    <row r="300" ht="15.6" customHeight="1"/>
    <row r="301" ht="15.6" customHeight="1"/>
    <row r="302" ht="15.6" customHeight="1"/>
    <row r="303" ht="15.6" customHeight="1"/>
    <row r="304" ht="15.6" customHeight="1"/>
    <row r="305" ht="15.6" customHeight="1"/>
    <row r="306" ht="15.6" customHeight="1"/>
    <row r="307" ht="15.6" customHeight="1"/>
    <row r="308" ht="15.6" customHeight="1"/>
    <row r="309" ht="15.6" customHeight="1"/>
    <row r="310" ht="15.6" customHeight="1"/>
    <row r="311" ht="15.6" customHeight="1"/>
    <row r="312" ht="15.6" customHeight="1"/>
    <row r="313" ht="15.6" customHeight="1"/>
    <row r="314" ht="15.6" customHeight="1"/>
    <row r="315" ht="15.6" customHeight="1"/>
    <row r="316" ht="15.6" customHeight="1"/>
    <row r="317" ht="15.6" customHeight="1"/>
    <row r="318" ht="15.6" customHeight="1"/>
    <row r="319" ht="15.6" customHeight="1"/>
    <row r="320" ht="15.6" customHeight="1"/>
    <row r="321" ht="15.6" customHeight="1"/>
    <row r="322" ht="15.6" customHeight="1"/>
    <row r="323" ht="15.6" customHeight="1"/>
    <row r="324" ht="15.6" customHeight="1"/>
    <row r="325" ht="15.6" customHeight="1"/>
    <row r="326" ht="15.6" customHeight="1"/>
    <row r="327" ht="15.6" customHeight="1"/>
    <row r="328" ht="15.6" customHeight="1"/>
    <row r="329" ht="15.6" customHeight="1"/>
    <row r="330" ht="15.6" customHeight="1"/>
    <row r="331" ht="15.6" customHeight="1"/>
    <row r="332" ht="15.6" customHeight="1"/>
    <row r="333" ht="15.6" customHeight="1"/>
    <row r="334" ht="15.6" customHeight="1"/>
    <row r="335" ht="15.6" customHeight="1"/>
    <row r="336" ht="15.6" customHeight="1"/>
    <row r="337" ht="15.6" customHeight="1"/>
    <row r="338" ht="15.6" customHeight="1"/>
    <row r="339" ht="15.6" customHeight="1"/>
    <row r="340" ht="15.6" customHeight="1"/>
    <row r="341" ht="15.6" customHeight="1"/>
    <row r="342" ht="15.6" customHeight="1"/>
    <row r="343" ht="15.6" customHeight="1"/>
    <row r="344" ht="15.6" customHeight="1"/>
    <row r="345" ht="15.6" customHeight="1"/>
    <row r="346" ht="15.6" customHeight="1"/>
    <row r="347" ht="15.6" customHeight="1"/>
    <row r="348" ht="15.6" customHeight="1"/>
    <row r="349" ht="15.6" customHeight="1"/>
    <row r="350" ht="15.6" customHeight="1"/>
    <row r="351" ht="15.6" customHeight="1"/>
    <row r="352" ht="15.6" customHeight="1"/>
    <row r="353" ht="15.6" customHeight="1"/>
    <row r="354" ht="15.6" customHeight="1"/>
    <row r="355" ht="15.6" customHeight="1"/>
    <row r="356" ht="15.6" customHeight="1"/>
    <row r="357" ht="15.6" customHeight="1"/>
    <row r="358" ht="15.6" customHeight="1"/>
    <row r="359" ht="15.6" customHeight="1"/>
    <row r="360" ht="15.6" customHeight="1"/>
    <row r="361" ht="15.6" customHeight="1"/>
    <row r="362" ht="15.6" customHeight="1"/>
    <row r="363" ht="15.6" customHeight="1"/>
    <row r="364" ht="15.6" customHeight="1"/>
    <row r="365" ht="15.6" customHeight="1"/>
    <row r="366" ht="15.6" customHeight="1"/>
    <row r="367" ht="15.6" customHeight="1"/>
    <row r="368" ht="15.6" customHeight="1"/>
    <row r="369" ht="15.6" customHeight="1"/>
    <row r="370" ht="15.6" customHeight="1"/>
    <row r="371" ht="15.6" customHeight="1"/>
    <row r="372" ht="15.6" customHeight="1"/>
    <row r="373" ht="15.6" customHeight="1"/>
    <row r="374" ht="15.6" customHeight="1"/>
    <row r="375" ht="15.6" customHeight="1"/>
    <row r="376" ht="15.6" customHeight="1"/>
    <row r="377" ht="15.6" customHeight="1"/>
    <row r="378" ht="15.6" customHeight="1"/>
    <row r="379" ht="15.6" customHeight="1"/>
    <row r="380" ht="15.6" customHeight="1"/>
    <row r="381" ht="15.6" customHeight="1"/>
    <row r="382" ht="15.6" customHeight="1"/>
    <row r="383" ht="15.6" customHeight="1"/>
    <row r="384" ht="15.6" customHeight="1"/>
    <row r="385" ht="15.6" customHeight="1"/>
    <row r="386" ht="15.6" customHeight="1"/>
    <row r="387" ht="15.6" customHeight="1"/>
    <row r="388" ht="15.6" customHeight="1"/>
    <row r="389" ht="15.6" customHeight="1"/>
    <row r="390" ht="15.6" customHeight="1"/>
    <row r="391" ht="15.6" customHeight="1"/>
    <row r="392" ht="15.6" customHeight="1"/>
    <row r="393" ht="15.6" customHeight="1"/>
    <row r="394" ht="15.6" customHeight="1"/>
    <row r="395" ht="15.6" customHeight="1"/>
    <row r="396" ht="15.6" customHeight="1"/>
    <row r="397" ht="15.6" customHeight="1"/>
    <row r="398" ht="15.6" customHeight="1"/>
    <row r="399" ht="15.6" customHeight="1"/>
    <row r="400" ht="15.6" customHeight="1"/>
    <row r="401" ht="15.6" customHeight="1"/>
    <row r="402" ht="15.6" customHeight="1"/>
    <row r="403" ht="15.6" customHeight="1"/>
    <row r="404" ht="15.6" customHeight="1"/>
    <row r="405" ht="15.6" customHeight="1"/>
    <row r="406" ht="15.6" customHeight="1"/>
    <row r="407" ht="15.6" customHeight="1"/>
    <row r="408" ht="15.6" customHeight="1"/>
    <row r="409" ht="15.6" customHeight="1"/>
    <row r="410" ht="15.6" customHeight="1"/>
    <row r="411" ht="15.6" customHeight="1"/>
    <row r="412" ht="15.6" customHeight="1"/>
    <row r="413" ht="15.6" customHeight="1"/>
    <row r="414" ht="15.6" customHeight="1"/>
    <row r="415" ht="15.6" customHeight="1"/>
    <row r="416" ht="15.6" customHeight="1"/>
    <row r="417" ht="15.6" customHeight="1"/>
    <row r="418" ht="15.6" customHeight="1"/>
    <row r="419" ht="15.6" customHeight="1"/>
    <row r="420" ht="15.6" customHeight="1"/>
    <row r="421" ht="15.6" customHeight="1"/>
    <row r="422" ht="15.6" customHeight="1"/>
    <row r="423" ht="15.6" customHeight="1"/>
    <row r="424" ht="15.6" customHeight="1"/>
    <row r="425" ht="15.6" customHeight="1"/>
    <row r="426" ht="15.6" customHeight="1"/>
    <row r="427" ht="15.6" customHeight="1"/>
    <row r="428" ht="15.6" customHeight="1"/>
    <row r="429" ht="15.6" customHeight="1"/>
    <row r="430" ht="15.6" customHeight="1"/>
    <row r="431" ht="15.6" customHeight="1"/>
    <row r="432" ht="15.6" customHeight="1"/>
    <row r="433" ht="15.6" customHeight="1"/>
    <row r="434" ht="15.6" customHeight="1"/>
    <row r="435" ht="15.6" customHeight="1"/>
    <row r="436" ht="15.6" customHeight="1"/>
    <row r="437" ht="15.6" customHeight="1"/>
    <row r="438" ht="15.6" customHeight="1"/>
    <row r="439" ht="15.6" customHeight="1"/>
    <row r="440" ht="15.6" customHeight="1"/>
    <row r="441" ht="15.6" customHeight="1"/>
    <row r="442" ht="15.6" customHeight="1"/>
    <row r="443" ht="15.6" customHeight="1"/>
    <row r="444" ht="15.6" customHeight="1"/>
    <row r="445" ht="15.6" customHeight="1"/>
    <row r="446" ht="15.6" customHeight="1"/>
    <row r="447" ht="15.6" customHeight="1"/>
    <row r="448" ht="15.6" customHeight="1"/>
    <row r="449" ht="15.6" customHeight="1"/>
    <row r="450" ht="15.6" customHeight="1"/>
    <row r="451" ht="15.6" customHeight="1"/>
    <row r="452" ht="15.6" customHeight="1"/>
    <row r="453" ht="15.6" customHeight="1"/>
    <row r="454" ht="15.6" customHeight="1"/>
    <row r="455" ht="15.6" customHeight="1"/>
    <row r="456" ht="15.6" customHeight="1"/>
    <row r="457" ht="15.6" customHeight="1"/>
    <row r="458" ht="15.6" customHeight="1"/>
    <row r="459" ht="15.6" customHeight="1"/>
    <row r="460" ht="15.6" customHeight="1"/>
    <row r="461" ht="15.6" customHeight="1"/>
    <row r="462" ht="15.6" customHeight="1"/>
    <row r="463" ht="15.6" customHeight="1"/>
    <row r="464" ht="15.6" customHeight="1"/>
    <row r="465" ht="15.6" customHeight="1"/>
    <row r="466" ht="15.6" customHeight="1"/>
    <row r="467" ht="15.6" customHeight="1"/>
    <row r="468" ht="15.6" customHeight="1"/>
    <row r="469" ht="15.6" customHeight="1"/>
    <row r="470" ht="15.6" customHeight="1"/>
    <row r="471" ht="15.6" customHeight="1"/>
    <row r="472" ht="15.6" customHeight="1"/>
    <row r="473" ht="15.6" customHeight="1"/>
    <row r="474" ht="15.6" customHeight="1"/>
    <row r="475" ht="15.6" customHeight="1"/>
    <row r="476" ht="15.6" customHeight="1"/>
    <row r="477" ht="15.6" customHeight="1"/>
    <row r="478" ht="15.6" customHeight="1"/>
    <row r="479" ht="15.6" customHeight="1"/>
    <row r="480" ht="15.6" customHeight="1"/>
    <row r="481" ht="15.6" customHeight="1"/>
    <row r="482" ht="15.6" customHeight="1"/>
    <row r="483" ht="15.6" customHeight="1"/>
    <row r="484" ht="15.6" customHeight="1"/>
    <row r="485" ht="15.6" customHeight="1"/>
    <row r="486" ht="15.6" customHeight="1"/>
    <row r="487" ht="15.6" customHeight="1"/>
    <row r="488" ht="15.6" customHeight="1"/>
    <row r="489" ht="15.6" customHeight="1"/>
    <row r="490" ht="15.6" customHeight="1"/>
    <row r="491" ht="15.6" customHeight="1"/>
    <row r="492" ht="15.6" customHeight="1"/>
    <row r="493" ht="15.6" customHeight="1"/>
    <row r="494" ht="15.6" customHeight="1"/>
    <row r="495" ht="15.6" customHeight="1"/>
    <row r="496" ht="15.6" customHeight="1"/>
    <row r="497" ht="15.6" customHeight="1"/>
    <row r="498" ht="15.6" customHeight="1"/>
    <row r="499" ht="15.6" customHeight="1"/>
    <row r="500" ht="15.6" customHeight="1"/>
    <row r="501" ht="15.6" customHeight="1"/>
    <row r="502" ht="15.6" customHeight="1"/>
    <row r="503" ht="15.6" customHeight="1"/>
    <row r="504" ht="15.6" customHeight="1"/>
    <row r="505" ht="15.6" customHeight="1"/>
    <row r="506" ht="15.6" customHeight="1"/>
    <row r="507" ht="15.6" customHeight="1"/>
    <row r="508" ht="15.6" customHeight="1"/>
    <row r="509" ht="15.6" customHeight="1"/>
    <row r="510" ht="15.6" customHeight="1"/>
    <row r="511" ht="15.6" customHeight="1"/>
    <row r="512" ht="15.6" customHeight="1"/>
    <row r="513" ht="15.6" customHeight="1"/>
    <row r="514" ht="15.6" customHeight="1"/>
    <row r="515" ht="15.6" customHeight="1"/>
    <row r="516" ht="15.6" customHeight="1"/>
    <row r="517" ht="15.6" customHeight="1"/>
    <row r="518" ht="15.6" customHeight="1"/>
    <row r="519" ht="15.6" customHeight="1"/>
    <row r="520" ht="15.6" customHeight="1"/>
    <row r="521" ht="15.6" customHeight="1"/>
    <row r="522" ht="15.6" customHeight="1"/>
    <row r="523" ht="15.6" customHeight="1"/>
    <row r="524" ht="15.6" customHeight="1"/>
    <row r="525" ht="15.6" customHeight="1"/>
    <row r="526" ht="15.6" customHeight="1"/>
    <row r="527" ht="15.6" customHeight="1"/>
    <row r="528" ht="15.6" customHeight="1"/>
    <row r="529" ht="15.6" customHeight="1"/>
    <row r="530" ht="15.6" customHeight="1"/>
    <row r="531" ht="15.6" customHeight="1"/>
    <row r="532" ht="15.6" customHeight="1"/>
    <row r="533" ht="15.6" customHeight="1"/>
    <row r="534" ht="15.6" customHeight="1"/>
    <row r="535" ht="15.6" customHeight="1"/>
    <row r="536" ht="15.6" customHeight="1"/>
    <row r="537" ht="15.6" customHeight="1"/>
    <row r="538" ht="15.6" customHeight="1"/>
    <row r="539" ht="15.6" customHeight="1"/>
    <row r="540" ht="15.6" customHeight="1"/>
    <row r="541" ht="15.6" customHeight="1"/>
    <row r="542" ht="15.6" customHeight="1"/>
    <row r="543" ht="15.6" customHeight="1"/>
    <row r="544" ht="15.6" customHeight="1"/>
    <row r="545" ht="15.6" customHeight="1"/>
    <row r="546" ht="15.6" customHeight="1"/>
    <row r="547" ht="15.6" customHeight="1"/>
    <row r="548" ht="15.6" customHeight="1"/>
    <row r="549" ht="15.6" customHeight="1"/>
    <row r="550" ht="15.6" customHeight="1"/>
    <row r="551" ht="15.6" customHeight="1"/>
    <row r="552" ht="15.6" customHeight="1"/>
    <row r="553" ht="15.6" customHeight="1"/>
    <row r="554" ht="15.6" customHeight="1"/>
    <row r="555" ht="15.6" customHeight="1"/>
    <row r="556" ht="15.6" customHeight="1"/>
    <row r="557" ht="15.6" customHeight="1"/>
    <row r="558" ht="15.6" customHeight="1"/>
    <row r="559" ht="15.6" customHeight="1"/>
    <row r="560" ht="15.6" customHeight="1"/>
    <row r="561" ht="15.6" customHeight="1"/>
    <row r="562" ht="15.6" customHeight="1"/>
    <row r="563" ht="15.6" customHeight="1"/>
    <row r="564" ht="15.6" customHeight="1"/>
    <row r="565" ht="15.6" customHeight="1"/>
    <row r="566" ht="15.6" customHeight="1"/>
    <row r="567" ht="15.6" customHeight="1"/>
    <row r="568" ht="15.6" customHeight="1"/>
    <row r="569" ht="15.6" customHeight="1"/>
    <row r="570" ht="15.6" customHeight="1"/>
    <row r="571" ht="15.6" customHeight="1"/>
    <row r="572" ht="15.6" customHeight="1"/>
    <row r="573" ht="15.6" customHeight="1"/>
    <row r="574" ht="15.6" customHeight="1"/>
    <row r="575" ht="15.6" customHeight="1"/>
    <row r="576" ht="15.6" customHeight="1"/>
    <row r="577" ht="15.6" customHeight="1"/>
    <row r="578" ht="15.6" customHeight="1"/>
    <row r="579" ht="15.6" customHeight="1"/>
    <row r="580" ht="15.6" customHeight="1"/>
    <row r="581" ht="15.6" customHeight="1"/>
    <row r="582" ht="15.6" customHeight="1"/>
    <row r="583" ht="15.6" customHeight="1"/>
    <row r="584" ht="15.6" customHeight="1"/>
    <row r="585" ht="15.6" customHeight="1"/>
    <row r="586" ht="15.6" customHeight="1"/>
    <row r="587" ht="15.6" customHeight="1"/>
    <row r="588" ht="15.6" customHeight="1"/>
    <row r="589" ht="15.6" customHeight="1"/>
    <row r="590" ht="15.6" customHeight="1"/>
    <row r="591" ht="15.6" customHeight="1"/>
    <row r="592" ht="15.6" customHeight="1"/>
    <row r="593" ht="15.6" customHeight="1"/>
    <row r="594" ht="15.6" customHeight="1"/>
    <row r="595" ht="15.6" customHeight="1"/>
    <row r="596" ht="15.6" customHeight="1"/>
    <row r="597" ht="15.6" customHeight="1"/>
    <row r="598" ht="15.6" customHeight="1"/>
    <row r="599" ht="15.6" customHeight="1"/>
    <row r="600" ht="15.6" customHeight="1"/>
    <row r="601" ht="15.6" customHeight="1"/>
    <row r="602" ht="15.6" customHeight="1"/>
    <row r="603" ht="15.6" customHeight="1"/>
    <row r="604" ht="15.6" customHeight="1"/>
    <row r="605" ht="15.6" customHeight="1"/>
    <row r="606" ht="15.6" customHeight="1"/>
    <row r="607" ht="15.6" customHeight="1"/>
    <row r="608" ht="15.6" customHeight="1"/>
    <row r="609" ht="15.6" customHeight="1"/>
    <row r="610" ht="15.6" customHeight="1"/>
    <row r="611" ht="15.6" customHeight="1"/>
    <row r="612" ht="15.6" customHeight="1"/>
    <row r="613" ht="15.6" customHeight="1"/>
    <row r="614" ht="15.6" customHeight="1"/>
    <row r="615" ht="15.6" customHeight="1"/>
    <row r="616" ht="15.6" customHeight="1"/>
    <row r="617" ht="15.6" customHeight="1"/>
    <row r="618" ht="15.6" customHeight="1"/>
    <row r="619" ht="15.6" customHeight="1"/>
    <row r="620" ht="15.6" customHeight="1"/>
    <row r="621" ht="15.6" customHeight="1"/>
    <row r="622" ht="15.6" customHeight="1"/>
    <row r="623" ht="15.6" customHeight="1"/>
    <row r="624" ht="15.6" customHeight="1"/>
    <row r="625" ht="15.6" customHeight="1"/>
    <row r="626" ht="15.6" customHeight="1"/>
    <row r="627" ht="15.6" customHeight="1"/>
    <row r="628" ht="15.6" customHeight="1"/>
    <row r="629" ht="15.6" customHeight="1"/>
    <row r="630" ht="15.6" customHeight="1"/>
    <row r="631" ht="15.6" customHeight="1"/>
    <row r="632" ht="15.6" customHeight="1"/>
    <row r="633" ht="15.6" customHeight="1"/>
    <row r="634" ht="15.6" customHeight="1"/>
    <row r="635" ht="15.6" customHeight="1"/>
    <row r="636" ht="15.6" customHeight="1"/>
    <row r="637" ht="15.6" customHeight="1"/>
    <row r="638" ht="15.6" customHeight="1"/>
    <row r="639" ht="15.6" customHeight="1"/>
    <row r="640" ht="15.6" customHeight="1"/>
    <row r="641" ht="15.6" customHeight="1"/>
    <row r="642" ht="15.6" customHeight="1"/>
    <row r="643" ht="15.6" customHeight="1"/>
    <row r="644" ht="15.6" customHeight="1"/>
    <row r="645" ht="15.6" customHeight="1"/>
    <row r="646" ht="15.6" customHeight="1"/>
    <row r="647" ht="15.6" customHeight="1"/>
    <row r="648" ht="15.6" customHeight="1"/>
    <row r="649" ht="15.6" customHeight="1"/>
    <row r="650" ht="15.6" customHeight="1"/>
    <row r="651" ht="15.6" customHeight="1"/>
    <row r="652" ht="15.6" customHeight="1"/>
    <row r="653" ht="15.6" customHeight="1"/>
    <row r="654" ht="15.6" customHeight="1"/>
    <row r="655" ht="15.6" customHeight="1"/>
    <row r="656" ht="15.6" customHeight="1"/>
    <row r="657" ht="15.6" customHeight="1"/>
    <row r="658" ht="15.6" customHeight="1"/>
    <row r="659" ht="15.6" customHeight="1"/>
    <row r="660" ht="15.6" customHeight="1"/>
    <row r="661" ht="15.6" customHeight="1"/>
    <row r="662" ht="15.6" customHeight="1"/>
    <row r="663" ht="15.6" customHeight="1"/>
    <row r="664" ht="15.6" customHeight="1"/>
    <row r="665" ht="15.6" customHeight="1"/>
    <row r="666" ht="15.6" customHeight="1"/>
    <row r="667" ht="15.6" customHeight="1"/>
    <row r="668" ht="15.6" customHeight="1"/>
    <row r="669" ht="15.6" customHeight="1"/>
    <row r="670" ht="15.6" customHeight="1"/>
    <row r="671" ht="15.6" customHeight="1"/>
    <row r="672" ht="15.6" customHeight="1"/>
    <row r="673" ht="15.6" customHeight="1"/>
    <row r="674" ht="15.6" customHeight="1"/>
    <row r="675" ht="15.6" customHeight="1"/>
    <row r="676" ht="15.6" customHeight="1"/>
    <row r="677" ht="15.6" customHeight="1"/>
    <row r="678" ht="15.6" customHeight="1"/>
    <row r="679" ht="15.6" customHeight="1"/>
    <row r="680" ht="15.6" customHeight="1"/>
    <row r="681" ht="15.6" customHeight="1"/>
    <row r="682" ht="15.6" customHeight="1"/>
    <row r="683" ht="15.6" customHeight="1"/>
    <row r="684" ht="15.6" customHeight="1"/>
    <row r="685" ht="15.6" customHeight="1"/>
    <row r="686" ht="15.6" customHeight="1"/>
    <row r="687" ht="15.6" customHeight="1"/>
    <row r="688" ht="15.6" customHeight="1"/>
    <row r="689" ht="15.6" customHeight="1"/>
    <row r="690" ht="15.6" customHeight="1"/>
    <row r="691" ht="15.6" customHeight="1"/>
    <row r="692" ht="15.6" customHeight="1"/>
    <row r="693" ht="15.6" customHeight="1"/>
    <row r="694" ht="15.6" customHeight="1"/>
    <row r="695" ht="15.6" customHeight="1"/>
    <row r="696" ht="15.6" customHeight="1"/>
    <row r="697" ht="15.6" customHeight="1"/>
    <row r="698" ht="15.6" customHeight="1"/>
    <row r="699" ht="15.6" customHeight="1"/>
    <row r="700" ht="15.6" customHeight="1"/>
    <row r="701" ht="15.6" customHeight="1"/>
    <row r="702" ht="15.6" customHeight="1"/>
    <row r="703" ht="15.6" customHeight="1"/>
    <row r="704" ht="15.6" customHeight="1"/>
    <row r="705" ht="15.6" customHeight="1"/>
    <row r="706" ht="15.6" customHeight="1"/>
    <row r="707" ht="15.6" customHeight="1"/>
    <row r="708" ht="15.6" customHeight="1"/>
    <row r="709" ht="15.6" customHeight="1"/>
    <row r="710" ht="15.6" customHeight="1"/>
    <row r="711" ht="15.6" customHeight="1"/>
    <row r="712" ht="15.6" customHeight="1"/>
    <row r="713" ht="15.6" customHeight="1"/>
    <row r="714" ht="15.6" customHeight="1"/>
    <row r="715" ht="15.6" customHeight="1"/>
    <row r="716" ht="15.6" customHeight="1"/>
    <row r="717" ht="15.6" customHeight="1"/>
    <row r="718" ht="15.6" customHeight="1"/>
    <row r="719" ht="15.6" customHeight="1"/>
    <row r="720" ht="15.6" customHeight="1"/>
    <row r="721" ht="15.6" customHeight="1"/>
    <row r="722" ht="15.6" customHeight="1"/>
    <row r="723" ht="15.6" customHeight="1"/>
    <row r="724" ht="15.6" customHeight="1"/>
    <row r="725" ht="15.6" customHeight="1"/>
    <row r="726" ht="15.6" customHeight="1"/>
    <row r="727" ht="15.6" customHeight="1"/>
    <row r="728" ht="15.6" customHeight="1"/>
    <row r="729" ht="15.6" customHeight="1"/>
    <row r="730" ht="15.6" customHeight="1"/>
    <row r="731" ht="15.6" customHeight="1"/>
    <row r="732" ht="15.6" customHeight="1"/>
    <row r="733" ht="15.6" customHeight="1"/>
    <row r="734" ht="15.6" customHeight="1"/>
    <row r="735" ht="15.6" customHeight="1"/>
    <row r="736" ht="15.6" customHeight="1"/>
    <row r="737" ht="15.6" customHeight="1"/>
    <row r="738" ht="15.6" customHeight="1"/>
    <row r="739" ht="15.6" customHeight="1"/>
    <row r="740" ht="15.6" customHeight="1"/>
    <row r="741" ht="15.6" customHeight="1"/>
    <row r="742" ht="15.6" customHeight="1"/>
    <row r="743" ht="15.6" customHeight="1"/>
    <row r="744" ht="15.6" customHeight="1"/>
    <row r="745" ht="15.6" customHeight="1"/>
    <row r="746" ht="15.6" customHeight="1"/>
    <row r="747" ht="15.6" customHeight="1"/>
    <row r="748" ht="15.6" customHeight="1"/>
    <row r="749" ht="15.6" customHeight="1"/>
    <row r="750" ht="15.6" customHeight="1"/>
    <row r="751" ht="15.6" customHeight="1"/>
    <row r="752" ht="15.6" customHeight="1"/>
    <row r="753" ht="15.6" customHeight="1"/>
    <row r="754" ht="15.6" customHeight="1"/>
    <row r="755" ht="15.6" customHeight="1"/>
    <row r="756" ht="15.6" customHeight="1"/>
    <row r="757" ht="15.6" customHeight="1"/>
    <row r="758" ht="15.6" customHeight="1"/>
    <row r="759" ht="15.6" customHeight="1"/>
    <row r="760" ht="15.6" customHeight="1"/>
    <row r="761" ht="15.6" customHeight="1"/>
    <row r="762" ht="15.6" customHeight="1"/>
    <row r="763" ht="15.6" customHeight="1"/>
    <row r="764" ht="15.6" customHeight="1"/>
    <row r="765" ht="15.6" customHeight="1"/>
    <row r="766" ht="15.6" customHeight="1"/>
    <row r="767" ht="15.6" customHeight="1"/>
    <row r="768" ht="15.6" customHeight="1"/>
    <row r="769" ht="15.6" customHeight="1"/>
    <row r="770" ht="15.6" customHeight="1"/>
    <row r="771" ht="15.6" customHeight="1"/>
    <row r="772" ht="15.6" customHeight="1"/>
    <row r="773" ht="15.6" customHeight="1"/>
    <row r="774" ht="15.6" customHeight="1"/>
    <row r="775" ht="15.6" customHeight="1"/>
    <row r="776" ht="15.6" customHeight="1"/>
    <row r="777" ht="15.6" customHeight="1"/>
    <row r="778" ht="15.6" customHeight="1"/>
    <row r="779" ht="15.6" customHeight="1"/>
    <row r="780" ht="15.6" customHeight="1"/>
    <row r="781" ht="15.6" customHeight="1"/>
    <row r="782" ht="15.6" customHeight="1"/>
    <row r="783" ht="15.6" customHeight="1"/>
    <row r="784" ht="15.6" customHeight="1"/>
    <row r="785" ht="15.6" customHeight="1"/>
    <row r="786" ht="15.6" customHeight="1"/>
    <row r="787" ht="15.6" customHeight="1"/>
    <row r="788" ht="15.6" customHeight="1"/>
    <row r="789" ht="15.6" customHeight="1"/>
    <row r="790" ht="15.6" customHeight="1"/>
    <row r="791" ht="15.6" customHeight="1"/>
    <row r="792" ht="15.6" customHeight="1"/>
    <row r="793" ht="15.6" customHeight="1"/>
    <row r="794" ht="15.6" customHeight="1"/>
    <row r="795" ht="15.6" customHeight="1"/>
    <row r="796" ht="15.6" customHeight="1"/>
    <row r="797" ht="15.6" customHeight="1"/>
    <row r="798" ht="15.6" customHeight="1"/>
    <row r="799" ht="15.6" customHeight="1"/>
    <row r="800" ht="15.6" customHeight="1"/>
    <row r="801" ht="15.6" customHeight="1"/>
    <row r="802" ht="15.6" customHeight="1"/>
    <row r="803" ht="15.6" customHeight="1"/>
    <row r="804" ht="15.6" customHeight="1"/>
    <row r="805" ht="15.6" customHeight="1"/>
    <row r="806" ht="15.6" customHeight="1"/>
    <row r="807" ht="15.6" customHeight="1"/>
    <row r="808" ht="15.6" customHeight="1"/>
    <row r="809" ht="15.6" customHeight="1"/>
    <row r="810" ht="15.6" customHeight="1"/>
    <row r="811" ht="15.6" customHeight="1"/>
    <row r="812" ht="15.6" customHeight="1"/>
    <row r="813" ht="15.6" customHeight="1"/>
    <row r="814" ht="15.6" customHeight="1"/>
    <row r="815" ht="15.6" customHeight="1"/>
    <row r="816" ht="15.6" customHeight="1"/>
    <row r="817" ht="15.6" customHeight="1"/>
    <row r="818" ht="15.6" customHeight="1"/>
    <row r="819" ht="15.6" customHeight="1"/>
    <row r="820" ht="15.6" customHeight="1"/>
    <row r="821" ht="15.6" customHeight="1"/>
    <row r="822" ht="15.6" customHeight="1"/>
    <row r="823" ht="15.6" customHeight="1"/>
    <row r="824" ht="15.6" customHeight="1"/>
    <row r="825" ht="15.6" customHeight="1"/>
    <row r="826" ht="15.6" customHeight="1"/>
    <row r="827" ht="15.6" customHeight="1"/>
    <row r="828" ht="15.6" customHeight="1"/>
    <row r="829" ht="15.6" customHeight="1"/>
    <row r="830" ht="15.6" customHeight="1"/>
    <row r="831" ht="15.6" customHeight="1"/>
    <row r="832" ht="15.6" customHeight="1"/>
    <row r="833" ht="15.6" customHeight="1"/>
    <row r="834" ht="15.6" customHeight="1"/>
    <row r="835" ht="15.6" customHeight="1"/>
    <row r="836" ht="15.6" customHeight="1"/>
    <row r="837" ht="15.6" customHeight="1"/>
    <row r="838" ht="15.6" customHeight="1"/>
    <row r="839" ht="15.6" customHeight="1"/>
    <row r="840" ht="15.6" customHeight="1"/>
    <row r="841" ht="15.6" customHeight="1"/>
    <row r="842" ht="15.6" customHeight="1"/>
    <row r="843" ht="15.6" customHeight="1"/>
    <row r="844" ht="15.6" customHeight="1"/>
    <row r="845" ht="15.6" customHeight="1"/>
    <row r="846" ht="15.6" customHeight="1"/>
    <row r="847" ht="15.6" customHeight="1"/>
    <row r="848" ht="15.6" customHeight="1"/>
    <row r="849" ht="15.6" customHeight="1"/>
    <row r="850" ht="15.6" customHeight="1"/>
    <row r="851" ht="15.6" customHeight="1"/>
    <row r="852" ht="15.6" customHeight="1"/>
    <row r="853" ht="15.6" customHeight="1"/>
    <row r="854" ht="15.6" customHeight="1"/>
    <row r="855" ht="15.6" customHeight="1"/>
    <row r="856" ht="15.6" customHeight="1"/>
    <row r="857" ht="15.6" customHeight="1"/>
    <row r="858" ht="15.6" customHeight="1"/>
    <row r="859" ht="15.6" customHeight="1"/>
    <row r="860" ht="15.6" customHeight="1"/>
    <row r="861" ht="15.6" customHeight="1"/>
    <row r="862" ht="15.6" customHeight="1"/>
    <row r="863" ht="15.6" customHeight="1"/>
    <row r="864" ht="15.6" customHeight="1"/>
    <row r="865" ht="15.6" customHeight="1"/>
    <row r="866" ht="15.6" customHeight="1"/>
    <row r="867" ht="15.6" customHeight="1"/>
    <row r="868" ht="15.6" customHeight="1"/>
    <row r="869" ht="15.6" customHeight="1"/>
    <row r="870" ht="15.6" customHeight="1"/>
    <row r="871" ht="15.6" customHeight="1"/>
    <row r="872" ht="15.6" customHeight="1"/>
    <row r="873" ht="15.6" customHeight="1"/>
    <row r="874" ht="15.6" customHeight="1"/>
    <row r="875" ht="15.6" customHeight="1"/>
    <row r="876" ht="15.6" customHeight="1"/>
    <row r="877" ht="15.6" customHeight="1"/>
    <row r="878" ht="15.6" customHeight="1"/>
    <row r="879" ht="15.6" customHeight="1"/>
    <row r="880" ht="15.6" customHeight="1"/>
    <row r="881" ht="15.6" customHeight="1"/>
    <row r="882" ht="15.6" customHeight="1"/>
    <row r="883" ht="15.6" customHeight="1"/>
    <row r="884" ht="15.6" customHeight="1"/>
    <row r="885" ht="15.6" customHeight="1"/>
    <row r="886" ht="15.6" customHeight="1"/>
    <row r="887" ht="15.6" customHeight="1"/>
    <row r="888" ht="15.6" customHeight="1"/>
    <row r="889" ht="15.6" customHeight="1"/>
    <row r="890" ht="15.6" customHeight="1"/>
    <row r="891" ht="15.6" customHeight="1"/>
    <row r="892" ht="15.6" customHeight="1"/>
    <row r="893" ht="15.6" customHeight="1"/>
    <row r="894" ht="15.6" customHeight="1"/>
    <row r="895" ht="15.6" customHeight="1"/>
    <row r="896" ht="15.6" customHeight="1"/>
    <row r="897" ht="15.6" customHeight="1"/>
    <row r="898" ht="15.6" customHeight="1"/>
    <row r="899" ht="15.6" customHeight="1"/>
    <row r="900" ht="15.6" customHeight="1"/>
    <row r="901" ht="15.6" customHeight="1"/>
    <row r="902" ht="15.6" customHeight="1"/>
    <row r="903" ht="15.6" customHeight="1"/>
    <row r="904" ht="15.6" customHeight="1"/>
    <row r="905" ht="15.6" customHeight="1"/>
    <row r="906" ht="15.6" customHeight="1"/>
    <row r="907" ht="15.6" customHeight="1"/>
    <row r="908" ht="15.6" customHeight="1"/>
    <row r="909" ht="15.6" customHeight="1"/>
    <row r="910" ht="15.6" customHeight="1"/>
    <row r="911" ht="15.6" customHeight="1"/>
    <row r="912" ht="15.6" customHeight="1"/>
    <row r="913" ht="15.6" customHeight="1"/>
    <row r="914" ht="15.6" customHeight="1"/>
    <row r="915" ht="15.6" customHeight="1"/>
    <row r="916" ht="15.6" customHeight="1"/>
    <row r="917" ht="15.6" customHeight="1"/>
    <row r="918" ht="15.6" customHeight="1"/>
    <row r="919" ht="15.6" customHeight="1"/>
    <row r="920" ht="15.6" customHeight="1"/>
    <row r="921" ht="15.6" customHeight="1"/>
    <row r="922" ht="15.6" customHeight="1"/>
    <row r="923" ht="15.6" customHeight="1"/>
    <row r="924" ht="15.6" customHeight="1"/>
    <row r="925" ht="15.6" customHeight="1"/>
    <row r="926" ht="15.6" customHeight="1"/>
    <row r="927" ht="15.6" customHeight="1"/>
    <row r="928" ht="15.6" customHeight="1"/>
    <row r="929" ht="15.6" customHeight="1"/>
    <row r="930" ht="15.6" customHeight="1"/>
    <row r="931" ht="15.6" customHeight="1"/>
    <row r="932" ht="15.6" customHeight="1"/>
    <row r="933" ht="15.6" customHeight="1"/>
    <row r="934" ht="15.6" customHeight="1"/>
    <row r="935" ht="15.6" customHeight="1"/>
    <row r="936" ht="15.6" customHeight="1"/>
    <row r="937" ht="15.6" customHeight="1"/>
    <row r="938" ht="15.6" customHeight="1"/>
    <row r="939" ht="15.6" customHeight="1"/>
    <row r="940" ht="15.6" customHeight="1"/>
    <row r="941" ht="15.6" customHeight="1"/>
    <row r="942" ht="15.6" customHeight="1"/>
    <row r="943" ht="15.6" customHeight="1"/>
    <row r="944" ht="15.6" customHeight="1"/>
    <row r="945" ht="15.6" customHeight="1"/>
    <row r="946" ht="15.6" customHeight="1"/>
    <row r="947" ht="15.6" customHeight="1"/>
    <row r="948" ht="15.6" customHeight="1"/>
    <row r="949" ht="15.6" customHeight="1"/>
    <row r="950" ht="15.6" customHeight="1"/>
    <row r="951" ht="15.6" customHeight="1"/>
    <row r="952" ht="15.6" customHeight="1"/>
    <row r="953" ht="15.6" customHeight="1"/>
    <row r="954" ht="15.6" customHeight="1"/>
    <row r="955" ht="15.6" customHeight="1"/>
    <row r="956" ht="15.6" customHeight="1"/>
    <row r="957" ht="15.6" customHeight="1"/>
    <row r="958" ht="15.6" customHeight="1"/>
    <row r="959" ht="15.6" customHeight="1"/>
    <row r="960" ht="15.6" customHeight="1"/>
    <row r="961" ht="15.6" customHeight="1"/>
    <row r="962" ht="15.6" customHeight="1"/>
    <row r="963" ht="15.6" customHeight="1"/>
    <row r="964" ht="15.6" customHeight="1"/>
    <row r="965" ht="15.6" customHeight="1"/>
    <row r="966" ht="15.6" customHeight="1"/>
    <row r="967" ht="15.6" customHeight="1"/>
    <row r="968" ht="15.6" customHeight="1"/>
    <row r="969" ht="15.6" customHeight="1"/>
    <row r="970" ht="15.6" customHeight="1"/>
    <row r="971" ht="15.6" customHeight="1"/>
    <row r="972" ht="15.6" customHeight="1"/>
    <row r="973" ht="15.6" customHeight="1"/>
    <row r="974" ht="15.6" customHeight="1"/>
    <row r="975" ht="15.6" customHeight="1"/>
    <row r="976" ht="15.6" customHeight="1"/>
    <row r="977" ht="15.6" customHeight="1"/>
    <row r="978" ht="15.6" customHeight="1"/>
    <row r="979" ht="15.6" customHeight="1"/>
    <row r="980" ht="15.6" customHeight="1"/>
    <row r="981" ht="15.6" customHeight="1"/>
    <row r="982" ht="15.6" customHeight="1"/>
    <row r="983" ht="15.6" customHeight="1"/>
    <row r="984" ht="15.6" customHeight="1"/>
    <row r="985" ht="15.6" customHeight="1"/>
    <row r="986" ht="15.6" customHeight="1"/>
    <row r="987" ht="15.6" customHeight="1"/>
    <row r="988" ht="15.6" customHeight="1"/>
    <row r="989" ht="15.6" customHeight="1"/>
    <row r="990" ht="15.6" customHeight="1"/>
    <row r="991" ht="15.6" customHeight="1"/>
    <row r="992" ht="15.6" customHeight="1"/>
    <row r="993" ht="15.6" customHeight="1"/>
    <row r="994" ht="15.6" customHeight="1"/>
    <row r="995" ht="15.6" customHeight="1"/>
    <row r="996" ht="15.6" customHeight="1"/>
    <row r="997" ht="15.6" customHeight="1"/>
    <row r="998" ht="15.6" customHeight="1"/>
    <row r="999" ht="15.6" customHeight="1"/>
    <row r="1000" ht="15.6" customHeight="1"/>
  </sheetData>
  <mergeCells count="4">
    <mergeCell ref="A3:C3"/>
    <mergeCell ref="A5:D5"/>
    <mergeCell ref="A18:D18"/>
    <mergeCell ref="A1:F1"/>
  </mergeCells>
  <pageMargins left="0.7" right="0.7" top="1.25" bottom="0.75" header="0.3" footer="0.3"/>
  <pageSetup orientation="portrait"/>
  <headerFooter>
    <oddHeader>&amp;L&amp;G</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Office Of Innovation</dc:creator>
  <dcterms:created xsi:type="dcterms:W3CDTF">2017-03-08T15:16:50Z</dcterms:created>
  <dcterms:modified xsi:type="dcterms:W3CDTF">2026-05-28T22:00:27Z</dcterms:modified>
  <cp:lastModifiedBy>Linnet Maloba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0x0101009BA85F8052A6DA4FA3E31FF9F74C69700000738FEFA594944F862740BC29D567FA</vt:lpwstr>
  </property>
  <property name="OfficeDivision" fmtid="{D5CDD505-2E9C-101B-9397-08002B2CF9AE}" pid="3">
    <vt:lpwstr>57;#Office of Global Innovation-240B|a38e29fd-ea29-4c98-a7c2-ed22641cac42</vt:lpwstr>
  </property>
  <property name="_dlc_DocIdItemGuid" fmtid="{D5CDD505-2E9C-101B-9397-08002B2CF9AE}" pid="4">
    <vt:lpwstr>900b8dec-b291-4f1e-af38-7a7f4a308eec</vt:lpwstr>
  </property>
  <property name="Order" fmtid="{D5CDD505-2E9C-101B-9397-08002B2CF9AE}" pid="5">
    <vt:r8>6733800</vt:r8>
  </property>
  <property name="ComplianceAssetId" fmtid="{D5CDD505-2E9C-101B-9397-08002B2CF9AE}" pid="6">
    <vt:lpwstr/>
  </property>
  <property name="_ExtendedDescription" fmtid="{D5CDD505-2E9C-101B-9397-08002B2CF9AE}" pid="7">
    <vt:lpwstr/>
  </property>
  <property name="TriggerFlowInfo" fmtid="{D5CDD505-2E9C-101B-9397-08002B2CF9AE}" pid="8">
    <vt:lpwstr/>
  </property>
  <property name="SystemDTAC" fmtid="{D5CDD505-2E9C-101B-9397-08002B2CF9AE}" pid="9">
    <vt:lpwstr/>
  </property>
  <property name="TaxKeyword" fmtid="{D5CDD505-2E9C-101B-9397-08002B2CF9AE}" pid="10">
    <vt:lpwstr/>
  </property>
  <property name="Topic" fmtid="{D5CDD505-2E9C-101B-9397-08002B2CF9AE}" pid="11">
    <vt:lpwstr>3;#n/a|62fe7219-0ec3-42ac-964d-70ae5d8291bb</vt:lpwstr>
  </property>
  <property name="CriticalForLongTermRetention" fmtid="{D5CDD505-2E9C-101B-9397-08002B2CF9AE}" pid="12">
    <vt:lpwstr/>
  </property>
  <property name="DocumentType" fmtid="{D5CDD505-2E9C-101B-9397-08002B2CF9AE}" pid="13">
    <vt:lpwstr>9;#Bids/ tenders (bid evaluations and adjudication)|69d08d89-fac4-4a57-a8e1-01c91efde237</vt:lpwstr>
  </property>
  <property name="GeographicScope" fmtid="{D5CDD505-2E9C-101B-9397-08002B2CF9AE}" pid="14">
    <vt:lpwstr/>
  </property>
  <property name="MediaServiceImageTags" fmtid="{D5CDD505-2E9C-101B-9397-08002B2CF9AE}" pid="15">
    <vt:lpwstr/>
  </property>
  <property name="xd_ProgID" fmtid="{D5CDD505-2E9C-101B-9397-08002B2CF9AE}" pid="16">
    <vt:lpwstr/>
  </property>
  <property name="ContentLanguage" fmtid="{D5CDD505-2E9C-101B-9397-08002B2CF9AE}" pid="17">
    <vt:lpwstr>English</vt:lpwstr>
  </property>
  <property name="TemplateUrl" fmtid="{D5CDD505-2E9C-101B-9397-08002B2CF9AE}" pid="18">
    <vt:lpwstr/>
  </property>
  <property name="xd_Signature" fmtid="{D5CDD505-2E9C-101B-9397-08002B2CF9AE}" pid="19">
    <vt:bool>0</vt:bool>
  </property>
  <property name="ga975397408f43e4b84ec8e5a598e523" fmtid="{D5CDD505-2E9C-101B-9397-08002B2CF9AE}" pid="20">
    <vt:lpwstr>Office of Global Innovation-240B|a38e29fd-ea29-4c98-a7c2-ed22641cac42</vt:lpwstr>
  </property>
  <property name="SD_CentreUnit" fmtid="{D5CDD505-2E9C-101B-9397-08002B2CF9AE}" pid="21">
    <vt:lpwstr/>
  </property>
  <property name="SD_Year" fmtid="{D5CDD505-2E9C-101B-9397-08002B2CF9AE}" pid="22">
    <vt:lpwstr/>
  </property>
</Properties>
</file>